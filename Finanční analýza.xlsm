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dra\iCloudDrive\Desktop\Portfolio\"/>
    </mc:Choice>
  </mc:AlternateContent>
  <xr:revisionPtr revIDLastSave="0" documentId="13_ncr:1_{830756CC-46E9-42E4-B148-78764082C5DB}" xr6:coauthVersionLast="47" xr6:coauthVersionMax="47" xr10:uidLastSave="{00000000-0000-0000-0000-000000000000}"/>
  <bookViews>
    <workbookView xWindow="28800" yWindow="0" windowWidth="28830" windowHeight="16230" xr2:uid="{E4413DC3-37EF-40B3-B7A9-A88D0817735A}"/>
  </bookViews>
  <sheets>
    <sheet name="Úvod" sheetId="5" r:id="rId1"/>
    <sheet name="Rozvaha_vstupní data" sheetId="1" r:id="rId2"/>
    <sheet name="VZZ_vstupní data" sheetId="2" r:id="rId3"/>
    <sheet name="Menu" sheetId="6" r:id="rId4"/>
    <sheet name="Vývoj tržeb" sheetId="3" r:id="rId5"/>
    <sheet name="Výsledky hospodaření+zisk" sheetId="4" r:id="rId6"/>
    <sheet name="Analýza rozvahy" sheetId="7" r:id="rId7"/>
    <sheet name="Analýza Rentability" sheetId="8" r:id="rId8"/>
    <sheet name="Analýza Likvidity" sheetId="9" r:id="rId9"/>
    <sheet name="Analýza Zadluženosti" sheetId="10" r:id="rId10"/>
    <sheet name="Analáza Aktivity" sheetId="1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E3" i="1"/>
  <c r="F3" i="1"/>
  <c r="J3" i="10" s="1"/>
  <c r="G3" i="1"/>
  <c r="K3" i="10" s="1"/>
  <c r="H3" i="1"/>
  <c r="C3" i="1"/>
  <c r="D3" i="1"/>
  <c r="H3" i="11" s="1"/>
  <c r="C14" i="1"/>
  <c r="D14" i="1"/>
  <c r="E14" i="1"/>
  <c r="F14" i="1"/>
  <c r="G14" i="1"/>
  <c r="G6" i="11"/>
  <c r="H6" i="11"/>
  <c r="I6" i="11"/>
  <c r="H5" i="11"/>
  <c r="I5" i="11"/>
  <c r="J5" i="11"/>
  <c r="H4" i="11"/>
  <c r="I4" i="11"/>
  <c r="J4" i="11"/>
  <c r="G2" i="11"/>
  <c r="H2" i="11"/>
  <c r="I2" i="11"/>
  <c r="J2" i="11"/>
  <c r="K2" i="11"/>
  <c r="L2" i="11"/>
  <c r="F2" i="11"/>
  <c r="L6" i="10"/>
  <c r="F6" i="10"/>
  <c r="G5" i="10"/>
  <c r="H5" i="10"/>
  <c r="I5" i="10"/>
  <c r="J5" i="10"/>
  <c r="K5" i="10"/>
  <c r="L5" i="10"/>
  <c r="B15" i="1"/>
  <c r="G4" i="10"/>
  <c r="H4" i="10"/>
  <c r="I4" i="10"/>
  <c r="J4" i="10"/>
  <c r="K4" i="10"/>
  <c r="L4" i="10"/>
  <c r="I3" i="10"/>
  <c r="L2" i="10"/>
  <c r="G2" i="10"/>
  <c r="H2" i="10"/>
  <c r="I2" i="10"/>
  <c r="J2" i="10"/>
  <c r="K2" i="10"/>
  <c r="F2" i="10"/>
  <c r="G5" i="9"/>
  <c r="H5" i="9"/>
  <c r="I5" i="9"/>
  <c r="J5" i="9"/>
  <c r="K5" i="9"/>
  <c r="L5" i="9"/>
  <c r="F5" i="9"/>
  <c r="G4" i="9"/>
  <c r="H4" i="9"/>
  <c r="I4" i="9"/>
  <c r="J4" i="9"/>
  <c r="K4" i="9"/>
  <c r="L4" i="9"/>
  <c r="G3" i="9"/>
  <c r="H3" i="9"/>
  <c r="I3" i="9"/>
  <c r="J3" i="9"/>
  <c r="K3" i="9"/>
  <c r="L3" i="9"/>
  <c r="G2" i="9"/>
  <c r="H2" i="9"/>
  <c r="I2" i="9"/>
  <c r="J2" i="9"/>
  <c r="K2" i="9"/>
  <c r="L2" i="9"/>
  <c r="F2" i="9"/>
  <c r="H2" i="8"/>
  <c r="I2" i="8"/>
  <c r="J2" i="8"/>
  <c r="K2" i="8"/>
  <c r="L2" i="8"/>
  <c r="M2" i="8"/>
  <c r="G2" i="8"/>
  <c r="D2" i="3"/>
  <c r="G3" i="11" s="1"/>
  <c r="E2" i="3"/>
  <c r="F2" i="3"/>
  <c r="G2" i="3"/>
  <c r="J6" i="11" s="1"/>
  <c r="H2" i="3"/>
  <c r="K5" i="11" s="1"/>
  <c r="I2" i="3"/>
  <c r="L5" i="11" s="1"/>
  <c r="C2" i="3"/>
  <c r="F5" i="11" s="1"/>
  <c r="I1" i="3"/>
  <c r="D1" i="3"/>
  <c r="E1" i="3"/>
  <c r="F1" i="3"/>
  <c r="G1" i="3"/>
  <c r="H1" i="3"/>
  <c r="C1" i="3"/>
  <c r="C2" i="2"/>
  <c r="D2" i="2"/>
  <c r="E2" i="2"/>
  <c r="F2" i="2"/>
  <c r="G2" i="2"/>
  <c r="H2" i="2"/>
  <c r="B2" i="2"/>
  <c r="C27" i="2"/>
  <c r="D27" i="2"/>
  <c r="E27" i="2"/>
  <c r="F27" i="2"/>
  <c r="G27" i="2"/>
  <c r="H27" i="2"/>
  <c r="B27" i="2"/>
  <c r="C22" i="2"/>
  <c r="D22" i="2"/>
  <c r="E22" i="2"/>
  <c r="F22" i="2"/>
  <c r="H22" i="2"/>
  <c r="B22" i="2"/>
  <c r="C12" i="2"/>
  <c r="G6" i="10" s="1"/>
  <c r="D12" i="2"/>
  <c r="H6" i="10" s="1"/>
  <c r="E12" i="2"/>
  <c r="I6" i="10" s="1"/>
  <c r="F12" i="2"/>
  <c r="F23" i="2" s="1"/>
  <c r="F25" i="2" s="1"/>
  <c r="G12" i="2"/>
  <c r="G23" i="2" s="1"/>
  <c r="G25" i="2" s="1"/>
  <c r="H12" i="2"/>
  <c r="H23" i="2" s="1"/>
  <c r="H25" i="2" s="1"/>
  <c r="B12" i="2"/>
  <c r="B23" i="2" s="1"/>
  <c r="B25" i="2" s="1"/>
  <c r="B8" i="1"/>
  <c r="F3" i="9" s="1"/>
  <c r="B4" i="1"/>
  <c r="B24" i="1"/>
  <c r="C24" i="1"/>
  <c r="C22" i="1" s="1"/>
  <c r="D24" i="1"/>
  <c r="E24" i="1"/>
  <c r="F24" i="1"/>
  <c r="G24" i="1"/>
  <c r="H24" i="1"/>
  <c r="H22" i="1" s="1"/>
  <c r="D22" i="1"/>
  <c r="E22" i="1"/>
  <c r="F22" i="1"/>
  <c r="G22" i="1"/>
  <c r="C15" i="1"/>
  <c r="D15" i="1"/>
  <c r="E15" i="1"/>
  <c r="F15" i="1"/>
  <c r="G15" i="1"/>
  <c r="H15" i="1"/>
  <c r="C4" i="1"/>
  <c r="D4" i="1"/>
  <c r="E4" i="1"/>
  <c r="F4" i="1"/>
  <c r="G4" i="1"/>
  <c r="H4" i="1"/>
  <c r="C8" i="1"/>
  <c r="D8" i="1"/>
  <c r="E8" i="1"/>
  <c r="F8" i="1"/>
  <c r="G8" i="1"/>
  <c r="H8" i="1"/>
  <c r="H26" i="2" l="1"/>
  <c r="M5" i="8"/>
  <c r="M4" i="8"/>
  <c r="B26" i="2"/>
  <c r="G5" i="8"/>
  <c r="G26" i="2"/>
  <c r="L5" i="8"/>
  <c r="L4" i="8"/>
  <c r="F26" i="2"/>
  <c r="K4" i="8"/>
  <c r="K5" i="8"/>
  <c r="D23" i="2"/>
  <c r="D25" i="2" s="1"/>
  <c r="J6" i="10"/>
  <c r="G4" i="11"/>
  <c r="G5" i="11"/>
  <c r="M3" i="8"/>
  <c r="E23" i="2"/>
  <c r="E25" i="2" s="1"/>
  <c r="K6" i="10"/>
  <c r="C23" i="2"/>
  <c r="C25" i="2" s="1"/>
  <c r="F4" i="11"/>
  <c r="F6" i="11"/>
  <c r="L6" i="11"/>
  <c r="L4" i="11"/>
  <c r="K6" i="11"/>
  <c r="I3" i="11"/>
  <c r="K4" i="11"/>
  <c r="F5" i="10"/>
  <c r="G4" i="8"/>
  <c r="F4" i="10"/>
  <c r="B14" i="1"/>
  <c r="B3" i="1"/>
  <c r="F3" i="11" s="1"/>
  <c r="F4" i="9"/>
  <c r="L3" i="8"/>
  <c r="L3" i="10"/>
  <c r="L3" i="11"/>
  <c r="J3" i="11"/>
  <c r="K3" i="8"/>
  <c r="J3" i="8"/>
  <c r="I3" i="8"/>
  <c r="K3" i="11"/>
  <c r="H3" i="8"/>
  <c r="H3" i="10"/>
  <c r="G3" i="10"/>
  <c r="H14" i="1"/>
  <c r="D26" i="2" l="1"/>
  <c r="I4" i="8"/>
  <c r="I5" i="8"/>
  <c r="C26" i="2"/>
  <c r="H4" i="8"/>
  <c r="H5" i="8"/>
  <c r="E26" i="2"/>
  <c r="J5" i="8"/>
  <c r="J4" i="8"/>
  <c r="G3" i="8"/>
  <c r="F3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Ondřej Zapletal</author>
  </authors>
  <commentList>
    <comment ref="O1" authorId="0" shapeId="0" xr:uid="{FD0C7133-E945-47AD-BEDE-B9742F785199}">
      <text>
        <r>
          <rPr>
            <b/>
            <sz val="9"/>
            <color indexed="81"/>
            <rFont val="Tahoma"/>
            <family val="2"/>
            <charset val="238"/>
          </rPr>
          <t>Ondřej Zapletal: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F3" authorId="0" shapeId="0" xr:uid="{E8F4C48B-EC30-4E1F-AD35-61CFA25F8B5F}">
      <text>
        <r>
          <rPr>
            <b/>
            <sz val="9"/>
            <color indexed="81"/>
            <rFont val="Tahoma"/>
            <family val="2"/>
            <charset val="238"/>
          </rPr>
          <t>Ondřej Zapletal:</t>
        </r>
        <r>
          <rPr>
            <sz val="9"/>
            <color indexed="81"/>
            <rFont val="Tahoma"/>
            <family val="2"/>
            <charset val="238"/>
          </rPr>
          <t xml:space="preserve">
CA..celková aktiva
t…daňová sazba
EBIT… zisk před zdaněním a úroky</t>
        </r>
      </text>
    </comment>
    <comment ref="F4" authorId="0" shapeId="0" xr:uid="{71CC5D2D-C8F1-4687-AE0F-8BEA3F85CC2F}">
      <text>
        <r>
          <rPr>
            <b/>
            <sz val="9"/>
            <color indexed="81"/>
            <rFont val="Tahoma"/>
            <family val="2"/>
            <charset val="238"/>
          </rPr>
          <t>Ondřej Zapletal:</t>
        </r>
        <r>
          <rPr>
            <sz val="9"/>
            <color indexed="81"/>
            <rFont val="Tahoma"/>
            <family val="2"/>
            <charset val="238"/>
          </rPr>
          <t xml:space="preserve">
EAT…čistý zisk
VK…vlastní kapitál</t>
        </r>
      </text>
    </comment>
    <comment ref="F5" authorId="0" shapeId="0" xr:uid="{E9594A14-5846-4EB1-A8B1-7E2504657741}">
      <text>
        <r>
          <rPr>
            <b/>
            <sz val="9"/>
            <color indexed="81"/>
            <rFont val="Tahoma"/>
            <family val="2"/>
            <charset val="238"/>
          </rPr>
          <t>Ondřej Zapletal:</t>
        </r>
        <r>
          <rPr>
            <sz val="9"/>
            <color indexed="81"/>
            <rFont val="Tahoma"/>
            <family val="2"/>
            <charset val="238"/>
          </rPr>
          <t xml:space="preserve">
EAT…čistý zisk
T…tržby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Ondřej Zapletal</author>
  </authors>
  <commentList>
    <comment ref="E3" authorId="0" shapeId="0" xr:uid="{98CFA3BA-B25E-46F4-95C0-817783A7ED62}">
      <text>
        <r>
          <rPr>
            <b/>
            <sz val="9"/>
            <color indexed="81"/>
            <rFont val="Tahoma"/>
            <family val="2"/>
            <charset val="238"/>
          </rPr>
          <t>Ondřej Zapletal:</t>
        </r>
        <r>
          <rPr>
            <sz val="9"/>
            <color indexed="81"/>
            <rFont val="Tahoma"/>
            <family val="2"/>
            <charset val="238"/>
          </rPr>
          <t xml:space="preserve">
OA…obežná aktiva
KZ…krátkodobé závazky</t>
        </r>
      </text>
    </comment>
    <comment ref="E4" authorId="0" shapeId="0" xr:uid="{DF4F94B9-638C-47AA-9B8B-CF2BD2268306}">
      <text>
        <r>
          <rPr>
            <b/>
            <sz val="9"/>
            <color indexed="81"/>
            <rFont val="Tahoma"/>
            <family val="2"/>
            <charset val="238"/>
          </rPr>
          <t>Ondřej Zapletal:</t>
        </r>
        <r>
          <rPr>
            <sz val="9"/>
            <color indexed="81"/>
            <rFont val="Tahoma"/>
            <family val="2"/>
            <charset val="238"/>
          </rPr>
          <t xml:space="preserve">
OA…obežná aktiva
KZ…krátkodobé závazky
</t>
        </r>
      </text>
    </comment>
    <comment ref="E5" authorId="0" shapeId="0" xr:uid="{DFA59801-30A4-4BCA-8178-414F9D04B4E4}">
      <text>
        <r>
          <rPr>
            <b/>
            <sz val="9"/>
            <color indexed="81"/>
            <rFont val="Tahoma"/>
            <family val="2"/>
            <charset val="238"/>
          </rPr>
          <t>Ondřej Zapletal:</t>
        </r>
        <r>
          <rPr>
            <sz val="9"/>
            <color indexed="81"/>
            <rFont val="Tahoma"/>
            <family val="2"/>
            <charset val="238"/>
          </rPr>
          <t xml:space="preserve">
KZ…krátkodobé závazky
KFM…Krátkodobý finanční majetek
PP…peněžní prostředky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Ondřej Zapletal</author>
  </authors>
  <commentList>
    <comment ref="E3" authorId="0" shapeId="0" xr:uid="{A82F8B34-E034-46C1-9A94-820678A32DEF}">
      <text>
        <r>
          <rPr>
            <b/>
            <sz val="9"/>
            <color indexed="81"/>
            <rFont val="Tahoma"/>
            <family val="2"/>
            <charset val="238"/>
          </rPr>
          <t>Ondřej Zapletal:</t>
        </r>
        <r>
          <rPr>
            <sz val="9"/>
            <color indexed="81"/>
            <rFont val="Tahoma"/>
            <family val="2"/>
            <charset val="238"/>
          </rPr>
          <t xml:space="preserve">
CK…cizí kapitál
CA…celková aktiva
VK…vlastní kapitál</t>
        </r>
      </text>
    </comment>
    <comment ref="E6" authorId="0" shapeId="0" xr:uid="{08DE9439-BD9A-475F-BE20-B0BC02F60716}">
      <text>
        <r>
          <rPr>
            <b/>
            <sz val="9"/>
            <color indexed="81"/>
            <rFont val="Tahoma"/>
            <family val="2"/>
            <charset val="238"/>
          </rPr>
          <t>Ondřej Zapletal:</t>
        </r>
        <r>
          <rPr>
            <sz val="9"/>
            <color indexed="81"/>
            <rFont val="Tahoma"/>
            <family val="2"/>
            <charset val="238"/>
          </rPr>
          <t xml:space="preserve">
EBIT… zisk před zdaněním a úroky</t>
        </r>
      </text>
    </comment>
  </commentList>
</comments>
</file>

<file path=xl/sharedStrings.xml><?xml version="1.0" encoding="utf-8"?>
<sst xmlns="http://schemas.openxmlformats.org/spreadsheetml/2006/main" count="99" uniqueCount="91">
  <si>
    <t>Aktiva Celkem</t>
  </si>
  <si>
    <t>Dlouhodobý nehmotný majetek</t>
  </si>
  <si>
    <t>Dlouhodobý hmotný majatek</t>
  </si>
  <si>
    <t>Dlouhodobý finanční majetek</t>
  </si>
  <si>
    <t>Dlouhodoný majetek-Stála aktiva</t>
  </si>
  <si>
    <t>Oběžná aktiva</t>
  </si>
  <si>
    <t>Zásoby</t>
  </si>
  <si>
    <t>Pohledávky</t>
  </si>
  <si>
    <t>Krátkobodý finanční majatek</t>
  </si>
  <si>
    <t>Peněžní prostředky</t>
  </si>
  <si>
    <t>Časové rozlišení aktiv</t>
  </si>
  <si>
    <t>Rozvaha vstupní data</t>
  </si>
  <si>
    <t>Základní kapitál</t>
  </si>
  <si>
    <t>Vlastní kapitál</t>
  </si>
  <si>
    <t>Ážio a kapitálové fondy</t>
  </si>
  <si>
    <t>Fondy ze zisku</t>
  </si>
  <si>
    <t>Výsledek hospodaření minulých let</t>
  </si>
  <si>
    <t>Výsledek hospodaření běžného účetního období (+/-)</t>
  </si>
  <si>
    <t>Cizí zdroje</t>
  </si>
  <si>
    <t>Závazky</t>
  </si>
  <si>
    <t>Dlohodobé závazky</t>
  </si>
  <si>
    <t>Časové rozlišení pasiv</t>
  </si>
  <si>
    <t>Rozhodnuto o zálohové výplatě podílu na zisku</t>
  </si>
  <si>
    <t>Krátkodobé závazky</t>
  </si>
  <si>
    <t>Rezervy</t>
  </si>
  <si>
    <t>Nedoplňuje se, je zde vzorec</t>
  </si>
  <si>
    <t>Chyba v součtu pasiv a aktiv, musí se rovnat</t>
  </si>
  <si>
    <t>VZZ vstupní data</t>
  </si>
  <si>
    <t>Tržby z prodeje výrobků a služeb</t>
  </si>
  <si>
    <t>Tržby za prodej zboží</t>
  </si>
  <si>
    <t>Výkonová spotřeba</t>
  </si>
  <si>
    <t>Změna stavu zásob vlastní činnosti (+/-)</t>
  </si>
  <si>
    <t>Aktivace (-)</t>
  </si>
  <si>
    <t>Osobní náklady</t>
  </si>
  <si>
    <t>Úpravy hodnot v provozní oblasti</t>
  </si>
  <si>
    <t>Ostatní provozní výnosy</t>
  </si>
  <si>
    <t>Ostatní provozní náklady</t>
  </si>
  <si>
    <t>Provozní výsledek hospodaření  (+/-)</t>
  </si>
  <si>
    <t>Výnosy z dl. Finančního majetku - podíly</t>
  </si>
  <si>
    <t>Výnosy z ostatního dl.finančního majetku</t>
  </si>
  <si>
    <t>Výnosové úroky a podobné výnosy</t>
  </si>
  <si>
    <t>Nákladové úroky a podobné náklady</t>
  </si>
  <si>
    <t>Finanční výsledek hospodaření (+/-)</t>
  </si>
  <si>
    <t>Výsledek hospodaření před zdaněním (+/-)</t>
  </si>
  <si>
    <t>Daň z příjmů</t>
  </si>
  <si>
    <t>Výsledek hospodaření po zdanění  (+/-)</t>
  </si>
  <si>
    <t>Výsledek hospodaření za účet. období (+/-)</t>
  </si>
  <si>
    <t>Čistý obrat za účetní období</t>
  </si>
  <si>
    <t>Náklady vynaložené na prodané podíly</t>
  </si>
  <si>
    <t>Náklady související s ostatním dl. fin.majetkem</t>
  </si>
  <si>
    <t>Úpravy hodnot a rezervy ve finanční oblasti</t>
  </si>
  <si>
    <t>Ostatní finanční výnosy</t>
  </si>
  <si>
    <t>Ostatní finanční náklady</t>
  </si>
  <si>
    <t>Hodnota Neto v tis. Kč v daném roce</t>
  </si>
  <si>
    <t>Celkové tržby</t>
  </si>
  <si>
    <t>Pasiva Celkem</t>
  </si>
  <si>
    <t>Ukazatel</t>
  </si>
  <si>
    <t>Vzorec</t>
  </si>
  <si>
    <t>EBIT*(1-t)/CA</t>
  </si>
  <si>
    <t>t</t>
  </si>
  <si>
    <t>EAT/VK</t>
  </si>
  <si>
    <t>EAT/T</t>
  </si>
  <si>
    <t>Zkratka</t>
  </si>
  <si>
    <t>ROA</t>
  </si>
  <si>
    <t>ROE</t>
  </si>
  <si>
    <t>ROS</t>
  </si>
  <si>
    <t>Rentabilita aktiv</t>
  </si>
  <si>
    <t>Rentabilita vlastního kapitálu</t>
  </si>
  <si>
    <t>Rentabilita tržeb</t>
  </si>
  <si>
    <t>Běžná likvidita</t>
  </si>
  <si>
    <t>OA / KZ</t>
  </si>
  <si>
    <t>Pohotová likvidita</t>
  </si>
  <si>
    <t>(OA-zásoby) / KZ</t>
  </si>
  <si>
    <t>Okamžitá (peněžní) likvidita</t>
  </si>
  <si>
    <t>(KFM+PP)/ KZ</t>
  </si>
  <si>
    <t>Celková zadluženost</t>
  </si>
  <si>
    <t>Zadluženost vlastního kapitálu</t>
  </si>
  <si>
    <t>Finanční samostatnost</t>
  </si>
  <si>
    <t>CK / CA</t>
  </si>
  <si>
    <t>CK / VK</t>
  </si>
  <si>
    <t>VK / CK</t>
  </si>
  <si>
    <t>Úrokové krytí</t>
  </si>
  <si>
    <t>EBIT / úroky</t>
  </si>
  <si>
    <t>aktiva/ (tržby/360)</t>
  </si>
  <si>
    <t>zásoby/ (tržby/360)</t>
  </si>
  <si>
    <t>krátk. pohledávky/ (tržby/360)</t>
  </si>
  <si>
    <t>krátk. závazky/ (tržby/360)</t>
  </si>
  <si>
    <t>Doba obratu aktiv</t>
  </si>
  <si>
    <t>Doba obratu zásob</t>
  </si>
  <si>
    <t>Doba obratu pohledávek</t>
  </si>
  <si>
    <t>Doba obratu krátk. Závazků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</si>
</sst>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0"/>
      <color indexed="24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6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6" borderId="1" xfId="0" applyFont="1" applyFill="1" applyBorder="1"/>
    <xf numFmtId="0" fontId="2" fillId="6" borderId="9" xfId="0" applyFont="1" applyFill="1" applyBorder="1"/>
    <xf numFmtId="0" fontId="0" fillId="7" borderId="1" xfId="0" applyFill="1" applyBorder="1"/>
    <xf numFmtId="0" fontId="0" fillId="7" borderId="8" xfId="0" applyFill="1" applyBorder="1"/>
    <xf numFmtId="0" fontId="0" fillId="8" borderId="1" xfId="0" applyFill="1" applyBorder="1"/>
    <xf numFmtId="0" fontId="0" fillId="8" borderId="5" xfId="0" applyFill="1" applyBorder="1"/>
    <xf numFmtId="0" fontId="1" fillId="3" borderId="9" xfId="2" applyBorder="1"/>
    <xf numFmtId="0" fontId="1" fillId="3" borderId="1" xfId="2" applyBorder="1"/>
    <xf numFmtId="0" fontId="0" fillId="3" borderId="0" xfId="2" applyFont="1"/>
    <xf numFmtId="0" fontId="4" fillId="9" borderId="0" xfId="0" applyFont="1" applyFill="1"/>
    <xf numFmtId="0" fontId="2" fillId="5" borderId="1" xfId="4" applyFont="1" applyBorder="1"/>
    <xf numFmtId="0" fontId="2" fillId="5" borderId="1" xfId="4" applyFont="1" applyBorder="1" applyAlignment="1">
      <alignment horizontal="center"/>
    </xf>
    <xf numFmtId="0" fontId="2" fillId="0" borderId="7" xfId="0" applyFont="1" applyBorder="1"/>
    <xf numFmtId="0" fontId="0" fillId="0" borderId="5" xfId="0" applyBorder="1"/>
    <xf numFmtId="0" fontId="1" fillId="3" borderId="7" xfId="2" applyBorder="1"/>
    <xf numFmtId="0" fontId="2" fillId="5" borderId="6" xfId="4" applyFont="1" applyBorder="1"/>
    <xf numFmtId="0" fontId="0" fillId="10" borderId="0" xfId="0" applyFill="1"/>
    <xf numFmtId="164" fontId="0" fillId="0" borderId="1" xfId="6" applyNumberFormat="1" applyFont="1" applyBorder="1"/>
    <xf numFmtId="2" fontId="0" fillId="0" borderId="1" xfId="6" applyNumberFormat="1" applyFont="1" applyBorder="1"/>
    <xf numFmtId="0" fontId="2" fillId="4" borderId="2" xfId="3" applyFont="1" applyBorder="1" applyAlignment="1">
      <alignment horizontal="center"/>
    </xf>
    <xf numFmtId="0" fontId="2" fillId="4" borderId="3" xfId="3" applyFont="1" applyBorder="1" applyAlignment="1">
      <alignment horizontal="center"/>
    </xf>
    <xf numFmtId="0" fontId="2" fillId="4" borderId="4" xfId="3" applyFont="1" applyBorder="1" applyAlignment="1">
      <alignment horizontal="center"/>
    </xf>
    <xf numFmtId="0" fontId="5" fillId="2" borderId="6" xfId="1" applyFont="1" applyBorder="1" applyAlignment="1">
      <alignment horizontal="center" vertical="center"/>
    </xf>
    <xf numFmtId="0" fontId="5" fillId="2" borderId="9" xfId="1" applyFont="1" applyBorder="1" applyAlignment="1">
      <alignment horizontal="center" vertical="center"/>
    </xf>
  </cellXfs>
  <cellStyles count="7">
    <cellStyle name="60 % – Zvýraznění 3" xfId="2" builtinId="40"/>
    <cellStyle name="60 % – Zvýraznění 4" xfId="3" builtinId="44"/>
    <cellStyle name="60 % – Zvýraznění 5" xfId="4" builtinId="48"/>
    <cellStyle name="Normální" xfId="0" builtinId="0"/>
    <cellStyle name="Normální 2" xfId="5" xr:uid="{B96C1B53-03ED-4D82-B698-5D1713D65F64}"/>
    <cellStyle name="Procenta" xfId="6" builtinId="5"/>
    <cellStyle name="Zvýraznění 1" xfId="1" builtinId="29"/>
  </cellStyles>
  <dxfs count="2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Vývoj celkových tržeb a jejich rozložení na tržby z prodeje výrobků a služeb a na tržby z prodeje zboží</a:t>
            </a:r>
          </a:p>
        </c:rich>
      </c:tx>
      <c:layout>
        <c:manualLayout>
          <c:xMode val="edge"/>
          <c:yMode val="edge"/>
          <c:x val="0.13011185682326623"/>
          <c:y val="1.713796058269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'VZZ_vstupní data'!$A$3</c:f>
              <c:strCache>
                <c:ptCount val="1"/>
                <c:pt idx="0">
                  <c:v>Tržby z prodeje výrobků a služeb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'VZZ_vstupní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'VZZ_vstupní data'!$B$3:$H$3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7C0A-4F7B-9483-0DD10E31EEA5}"/>
            </c:ext>
          </c:extLst>
        </c:ser>
        <c:ser>
          <c:idx val="1"/>
          <c:order val="1"/>
          <c:tx>
            <c:strRef>
              <c:f>'VZZ_vstupní data'!$A$4</c:f>
              <c:strCache>
                <c:ptCount val="1"/>
                <c:pt idx="0">
                  <c:v>Tržby za prodej zboží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'VZZ_vstupní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'VZZ_vstupní data'!$B$4:$H$4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7C0A-4F7B-9483-0DD10E31E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8909920"/>
        <c:axId val="238908000"/>
      </c:barChart>
      <c:lineChart>
        <c:grouping val="standard"/>
        <c:varyColors val="0"/>
        <c:ser>
          <c:idx val="2"/>
          <c:order val="2"/>
          <c:tx>
            <c:strRef>
              <c:f>'Vývoj tržeb'!$B$2</c:f>
              <c:strCache>
                <c:ptCount val="1"/>
                <c:pt idx="0">
                  <c:v>Celkové tržby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1.6771488469601676E-3"/>
                  <c:y val="-7.23270440251572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0A-4F7B-9483-0DD10E31EEA5}"/>
                </c:ext>
              </c:extLst>
            </c:dLbl>
            <c:dLbl>
              <c:idx val="1"/>
              <c:layout>
                <c:manualLayout>
                  <c:x val="-1.1740041928721174E-2"/>
                  <c:y val="-6.91823899371070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0A-4F7B-9483-0DD10E31EEA5}"/>
                </c:ext>
              </c:extLst>
            </c:dLbl>
            <c:dLbl>
              <c:idx val="2"/>
              <c:layout>
                <c:manualLayout>
                  <c:x val="-1.3417190775681341E-2"/>
                  <c:y val="-5.66037735849057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0A-4F7B-9483-0DD10E31EEA5}"/>
                </c:ext>
              </c:extLst>
            </c:dLbl>
            <c:dLbl>
              <c:idx val="3"/>
              <c:layout>
                <c:manualLayout>
                  <c:x val="-1.509433962264151E-2"/>
                  <c:y val="-7.23270440251572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0A-4F7B-9483-0DD10E31EEA5}"/>
                </c:ext>
              </c:extLst>
            </c:dLbl>
            <c:dLbl>
              <c:idx val="4"/>
              <c:layout>
                <c:manualLayout>
                  <c:x val="-2.0125786163522012E-2"/>
                  <c:y val="-6.60377358490566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0A-4F7B-9483-0DD10E31EEA5}"/>
                </c:ext>
              </c:extLst>
            </c:dLbl>
            <c:dLbl>
              <c:idx val="5"/>
              <c:layout>
                <c:manualLayout>
                  <c:x val="-3.0188679245283019E-2"/>
                  <c:y val="-5.34591194968553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0A-4F7B-9483-0DD10E31EEA5}"/>
                </c:ext>
              </c:extLst>
            </c:dLbl>
            <c:dLbl>
              <c:idx val="6"/>
              <c:layout>
                <c:manualLayout>
                  <c:x val="-4.8637316561844862E-2"/>
                  <c:y val="-2.5157232704402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0A-4F7B-9483-0DD10E31EE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'VZZ_vstupní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'Vývoj tržeb'!$C$2:$I$2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0A-4F7B-9483-0DD10E31E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09920"/>
        <c:axId val="238908000"/>
      </c:lineChart>
      <c:catAx>
        <c:axId val="23890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8000"/>
        <c:crosses val="autoZero"/>
        <c:auto val="1"/>
        <c:lblAlgn val="ctr"/>
        <c:lblOffset val="100"/>
        <c:noMultiLvlLbl val="0"/>
      </c:catAx>
      <c:valAx>
        <c:axId val="2389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tis. Kč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Vývoj celových tržeb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'Vývoj tržeb'!$B$2</c:f>
              <c:strCache>
                <c:ptCount val="1"/>
                <c:pt idx="0">
                  <c:v>Celkové tržby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'Vývoj tržeb'!$C$1:$I$1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'Vývoj tržeb'!$C$2:$I$2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F-4BAD-9E36-EE5FAAE875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73919024"/>
        <c:axId val="773918064"/>
      </c:barChart>
      <c:catAx>
        <c:axId val="773919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73918064"/>
        <c:crosses val="autoZero"/>
        <c:auto val="1"/>
        <c:lblAlgn val="ctr"/>
        <c:lblOffset val="100"/>
        <c:noMultiLvlLbl val="0"/>
      </c:catAx>
      <c:valAx>
        <c:axId val="77391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900" b="1" i="0" u="none" strike="noStrike" kern="1200" cap="all" baseline="0">
                    <a:solidFill>
                      <a:sysClr val="window" lastClr="FFFFFF">
                        <a:lumMod val="85000"/>
                      </a:sysClr>
                    </a:solidFill>
                  </a:rPr>
                  <a:t>tis. Kč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7391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Vývoj výsledku</a:t>
            </a:r>
            <a:r>
              <a:rPr lang="cs-CZ" baseline="0"/>
              <a:t> hospodaření před zdaněním a jeho rozložení na provozní a finanční výsledek hospodaření</a:t>
            </a:r>
            <a:endParaRPr lang="cs-CZ"/>
          </a:p>
        </c:rich>
      </c:tx>
      <c:layout>
        <c:manualLayout>
          <c:xMode val="edge"/>
          <c:yMode val="edge"/>
          <c:x val="0.13011185682326623"/>
          <c:y val="1.713796058269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'VZZ_vstupní data'!$A$12</c:f>
              <c:strCache>
                <c:ptCount val="1"/>
                <c:pt idx="0">
                  <c:v>Provozní výsledek hospodaření  (+/-)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'VZZ_vstupní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'VZZ_vstupní data'!$B$12:$H$12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11-47FB-9819-9E90A5DBFEDF}"/>
            </c:ext>
          </c:extLst>
        </c:ser>
        <c:ser>
          <c:idx val="1"/>
          <c:order val="1"/>
          <c:tx>
            <c:strRef>
              <c:f>'VZZ_vstupní data'!$A$22</c:f>
              <c:strCache>
                <c:ptCount val="1"/>
                <c:pt idx="0">
                  <c:v>Finanční výsledek hospodaření (+/-)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'VZZ_vstupní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'VZZ_vstupní data'!$B$22:$H$22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1-47FB-9819-9E90A5DBF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8909920"/>
        <c:axId val="238908000"/>
      </c:barChart>
      <c:lineChart>
        <c:grouping val="standard"/>
        <c:varyColors val="0"/>
        <c:ser>
          <c:idx val="2"/>
          <c:order val="2"/>
          <c:tx>
            <c:strRef>
              <c:f>'VZZ_vstupní data'!$A$23</c:f>
              <c:strCache>
                <c:ptCount val="1"/>
                <c:pt idx="0">
                  <c:v>Výsledek hospodaření před zdaněním (+/-)</c:v>
                </c:pt>
              </c:strCache>
            </c:strRef>
          </c:tx>
          <c:spPr>
            <a:ln w="34925" cap="rnd">
              <a:solidFill>
                <a:schemeClr val="bg2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'VZZ_vstupní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'VZZ_vstupní data'!$B$23:$H$23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C11-47FB-9819-9E90A5DBFE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8909920"/>
        <c:axId val="238908000"/>
      </c:lineChart>
      <c:catAx>
        <c:axId val="23890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8000"/>
        <c:crosses val="autoZero"/>
        <c:auto val="1"/>
        <c:lblAlgn val="ctr"/>
        <c:lblOffset val="100"/>
        <c:noMultiLvlLbl val="0"/>
      </c:catAx>
      <c:valAx>
        <c:axId val="2389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 tis. Kč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 sz="1600" b="1" i="0" u="none" strike="noStrike" baseline="0">
                <a:effectLst/>
              </a:rPr>
              <a:t>Výsledek hospodaření za účet. období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'VZZ_vstupní data'!$A$26</c:f>
              <c:strCache>
                <c:ptCount val="1"/>
                <c:pt idx="0">
                  <c:v>Výsledek hospodaření za účet. období (+/-)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'VZZ_vstupní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'VZZ_vstupní data'!$B$26:$H$26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B-415B-A38F-D80E5AD4C7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73919024"/>
        <c:axId val="773918064"/>
      </c:barChart>
      <c:catAx>
        <c:axId val="773919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73918064"/>
        <c:crosses val="autoZero"/>
        <c:auto val="1"/>
        <c:lblAlgn val="ctr"/>
        <c:lblOffset val="100"/>
        <c:noMultiLvlLbl val="0"/>
      </c:catAx>
      <c:valAx>
        <c:axId val="77391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900" b="1" i="0" u="none" strike="noStrike" kern="1200" cap="all" baseline="0">
                    <a:solidFill>
                      <a:sysClr val="window" lastClr="FFFFFF">
                        <a:lumMod val="85000"/>
                      </a:sysClr>
                    </a:solidFill>
                  </a:rPr>
                  <a:t> tis. Kč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7391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Analýza celkových aktiv a podílu jednotlivých</a:t>
            </a:r>
            <a:r>
              <a:rPr lang="cs-CZ" baseline="0"/>
              <a:t> hlavních skupin aktiv</a:t>
            </a:r>
            <a:endParaRPr lang="cs-CZ"/>
          </a:p>
        </c:rich>
      </c:tx>
      <c:layout>
        <c:manualLayout>
          <c:xMode val="edge"/>
          <c:yMode val="edge"/>
          <c:x val="0.13011185682326623"/>
          <c:y val="1.713796058269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'Rozvaha_vstupní data'!$A$4</c:f>
              <c:strCache>
                <c:ptCount val="1"/>
                <c:pt idx="0">
                  <c:v>Dlouhodoný majetek-Stála aktiva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data'!$B$4:$H$4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4A-45D6-9A44-F402486E17BC}"/>
            </c:ext>
          </c:extLst>
        </c:ser>
        <c:ser>
          <c:idx val="1"/>
          <c:order val="1"/>
          <c:tx>
            <c:strRef>
              <c:f>'Rozvaha_vstupní data'!$A$8</c:f>
              <c:strCache>
                <c:ptCount val="1"/>
                <c:pt idx="0">
                  <c:v>Oběžná aktiva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data'!$B$8:$H$8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4A-45D6-9A44-F402486E17BC}"/>
            </c:ext>
          </c:extLst>
        </c:ser>
        <c:ser>
          <c:idx val="3"/>
          <c:order val="3"/>
          <c:tx>
            <c:strRef>
              <c:f>'Rozvaha_vstupní data'!$A$13</c:f>
              <c:strCache>
                <c:ptCount val="1"/>
                <c:pt idx="0">
                  <c:v>Časové rozlišení aktiv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data'!$B$13:$H$13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324A-45D6-9A44-F402486E1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8909920"/>
        <c:axId val="238908000"/>
      </c:barChart>
      <c:lineChart>
        <c:grouping val="standard"/>
        <c:varyColors val="0"/>
        <c:ser>
          <c:idx val="2"/>
          <c:order val="2"/>
          <c:tx>
            <c:strRef>
              <c:f>'Rozvaha_vstupní data'!$A$3</c:f>
              <c:strCache>
                <c:ptCount val="1"/>
                <c:pt idx="0">
                  <c:v>Aktiva Celkem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data'!$B$3:$H$3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4A-45D6-9A44-F402486E17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8909920"/>
        <c:axId val="238908000"/>
      </c:lineChart>
      <c:catAx>
        <c:axId val="23890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8000"/>
        <c:crosses val="autoZero"/>
        <c:auto val="1"/>
        <c:lblAlgn val="ctr"/>
        <c:lblOffset val="100"/>
        <c:noMultiLvlLbl val="0"/>
      </c:catAx>
      <c:valAx>
        <c:axId val="2389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 tis. Kč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Analýza celkových pasiv a podílu jednotlivých</a:t>
            </a:r>
            <a:r>
              <a:rPr lang="cs-CZ" baseline="0"/>
              <a:t> hlavních skupin pasiv</a:t>
            </a:r>
            <a:endParaRPr lang="cs-CZ"/>
          </a:p>
        </c:rich>
      </c:tx>
      <c:layout>
        <c:manualLayout>
          <c:xMode val="edge"/>
          <c:yMode val="edge"/>
          <c:x val="0.13011185682326623"/>
          <c:y val="1.713796058269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'Rozvaha_vstupní data'!$A$15</c:f>
              <c:strCache>
                <c:ptCount val="1"/>
                <c:pt idx="0">
                  <c:v>Vlastní kapitál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data'!$B$15:$H$15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46-408E-A329-0F3BFC3D0E20}"/>
            </c:ext>
          </c:extLst>
        </c:ser>
        <c:ser>
          <c:idx val="1"/>
          <c:order val="1"/>
          <c:tx>
            <c:strRef>
              <c:f>'Rozvaha_vstupní data'!$A$22</c:f>
              <c:strCache>
                <c:ptCount val="1"/>
                <c:pt idx="0">
                  <c:v>Cizí zdroje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data'!$B$22:$H$22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46-408E-A329-0F3BFC3D0E20}"/>
            </c:ext>
          </c:extLst>
        </c:ser>
        <c:ser>
          <c:idx val="3"/>
          <c:order val="3"/>
          <c:tx>
            <c:strRef>
              <c:f>'Rozvaha_vstupní data'!$A$27</c:f>
              <c:strCache>
                <c:ptCount val="1"/>
                <c:pt idx="0">
                  <c:v>Časové rozlišení pasiv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data'!$B$27:$H$27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3846-408E-A329-0F3BFC3D0E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8909920"/>
        <c:axId val="238908000"/>
      </c:barChart>
      <c:lineChart>
        <c:grouping val="standard"/>
        <c:varyColors val="0"/>
        <c:ser>
          <c:idx val="2"/>
          <c:order val="2"/>
          <c:tx>
            <c:strRef>
              <c:f>'Rozvaha_vstupní data'!$A$14</c:f>
              <c:strCache>
                <c:ptCount val="1"/>
                <c:pt idx="0">
                  <c:v>Pasiva Celkem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data'!$B$14:$H$14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46-408E-A329-0F3BFC3D0E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8909920"/>
        <c:axId val="238908000"/>
      </c:lineChart>
      <c:catAx>
        <c:axId val="23890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8000"/>
        <c:crosses val="autoZero"/>
        <c:auto val="1"/>
        <c:lblAlgn val="ctr"/>
        <c:lblOffset val="100"/>
        <c:noMultiLvlLbl val="0"/>
      </c:catAx>
      <c:valAx>
        <c:axId val="2389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 tis. Kč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Analýza oběžných</a:t>
            </a:r>
            <a:r>
              <a:rPr lang="cs-CZ" baseline="0"/>
              <a:t> aktiv </a:t>
            </a:r>
            <a:r>
              <a:rPr lang="cs-CZ"/>
              <a:t>a podílu jednotlivých</a:t>
            </a:r>
            <a:r>
              <a:rPr lang="cs-CZ" baseline="0"/>
              <a:t> skupin oběžných aktiv</a:t>
            </a:r>
            <a:endParaRPr lang="cs-CZ"/>
          </a:p>
        </c:rich>
      </c:tx>
      <c:layout>
        <c:manualLayout>
          <c:xMode val="edge"/>
          <c:yMode val="edge"/>
          <c:x val="0.13011185682326623"/>
          <c:y val="1.713796058269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'Rozvaha_vstupní data'!$A$9</c:f>
              <c:strCache>
                <c:ptCount val="1"/>
                <c:pt idx="0">
                  <c:v>Zásoby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data'!$B$9:$H$9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CA03-42E2-B7C1-C6D8311B6F63}"/>
            </c:ext>
          </c:extLst>
        </c:ser>
        <c:ser>
          <c:idx val="1"/>
          <c:order val="1"/>
          <c:tx>
            <c:strRef>
              <c:f>'Rozvaha_vstupní data'!$A$10</c:f>
              <c:strCache>
                <c:ptCount val="1"/>
                <c:pt idx="0">
                  <c:v>Pohledávky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data'!$B$10:$H$10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CA03-42E2-B7C1-C6D8311B6F63}"/>
            </c:ext>
          </c:extLst>
        </c:ser>
        <c:ser>
          <c:idx val="3"/>
          <c:order val="2"/>
          <c:tx>
            <c:strRef>
              <c:f>'Rozvaha_vstupní data'!$A$11</c:f>
              <c:strCache>
                <c:ptCount val="1"/>
                <c:pt idx="0">
                  <c:v>Krátkobodý finanční majatek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data'!$B$11:$H$11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CA03-42E2-B7C1-C6D8311B6F63}"/>
            </c:ext>
          </c:extLst>
        </c:ser>
        <c:ser>
          <c:idx val="4"/>
          <c:order val="3"/>
          <c:tx>
            <c:strRef>
              <c:f>'Rozvaha_vstupní data'!$A$12</c:f>
              <c:strCache>
                <c:ptCount val="1"/>
                <c:pt idx="0">
                  <c:v>Peněžní prostředky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data'!$B$12:$H$12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CA03-42E2-B7C1-C6D8311B6F6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8909920"/>
        <c:axId val="238908000"/>
      </c:barChart>
      <c:lineChart>
        <c:grouping val="standard"/>
        <c:varyColors val="0"/>
        <c:ser>
          <c:idx val="2"/>
          <c:order val="4"/>
          <c:tx>
            <c:strRef>
              <c:f>'Rozvaha_vstupní data'!$A$3</c:f>
              <c:strCache>
                <c:ptCount val="1"/>
                <c:pt idx="0">
                  <c:v>Aktiva Celkem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data'!$B$3:$H$3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03-42E2-B7C1-C6D8311B6F6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8909920"/>
        <c:axId val="238908000"/>
      </c:lineChart>
      <c:catAx>
        <c:axId val="23890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8000"/>
        <c:crosses val="autoZero"/>
        <c:auto val="1"/>
        <c:lblAlgn val="ctr"/>
        <c:lblOffset val="100"/>
        <c:noMultiLvlLbl val="0"/>
      </c:catAx>
      <c:valAx>
        <c:axId val="2389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 tis. Kč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Analýza oběžných</a:t>
            </a:r>
            <a:r>
              <a:rPr lang="cs-CZ" baseline="0"/>
              <a:t> aktiv </a:t>
            </a:r>
            <a:r>
              <a:rPr lang="cs-CZ"/>
              <a:t>a podílu jednotlivých</a:t>
            </a:r>
            <a:r>
              <a:rPr lang="cs-CZ" baseline="0"/>
              <a:t> skupin oběžných aktiv</a:t>
            </a:r>
            <a:endParaRPr lang="cs-CZ"/>
          </a:p>
        </c:rich>
      </c:tx>
      <c:layout>
        <c:manualLayout>
          <c:xMode val="edge"/>
          <c:yMode val="edge"/>
          <c:x val="0.13011185682326623"/>
          <c:y val="1.713796058269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'Rozvaha_vstupní data'!$A$23</c:f>
              <c:strCache>
                <c:ptCount val="1"/>
                <c:pt idx="0">
                  <c:v>Rezervy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data'!$B$23:$H$23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AB07-4377-8136-63ACBBB69285}"/>
            </c:ext>
          </c:extLst>
        </c:ser>
        <c:ser>
          <c:idx val="1"/>
          <c:order val="1"/>
          <c:tx>
            <c:strRef>
              <c:f>'Rozvaha_vstupní data'!$A$24</c:f>
              <c:strCache>
                <c:ptCount val="1"/>
                <c:pt idx="0">
                  <c:v>Závazky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data'!$B$24:$H$24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7-4377-8136-63ACBBB6928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8909920"/>
        <c:axId val="238908000"/>
      </c:barChart>
      <c:lineChart>
        <c:grouping val="standard"/>
        <c:varyColors val="0"/>
        <c:ser>
          <c:idx val="2"/>
          <c:order val="2"/>
          <c:tx>
            <c:strRef>
              <c:f>'Rozvaha_vstupní data'!$A$14</c:f>
              <c:strCache>
                <c:ptCount val="1"/>
                <c:pt idx="0">
                  <c:v>Pasiva Celkem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'Rozvaha_vstupní data'!$B$2:$H$2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'Rozvaha_vstupní data'!$B$14:$H$14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07-4377-8136-63ACBBB6928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8909920"/>
        <c:axId val="238908000"/>
      </c:lineChart>
      <c:catAx>
        <c:axId val="23890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8000"/>
        <c:crosses val="autoZero"/>
        <c:auto val="1"/>
        <c:lblAlgn val="ctr"/>
        <c:lblOffset val="100"/>
        <c:noMultiLvlLbl val="0"/>
      </c:catAx>
      <c:valAx>
        <c:axId val="2389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 tis. Kč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3890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Vývoj vybraných rentabilit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'Analýza Rentability'!$D$3</c:f>
              <c:strCache>
                <c:ptCount val="1"/>
                <c:pt idx="0">
                  <c:v>ROA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'Analýza Rentability'!$G$2:$M$2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Rentability'!$G$3:$M$3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DC-4C5C-806B-E901099CFB63}"/>
            </c:ext>
          </c:extLst>
        </c:ser>
        <c:ser>
          <c:idx val="1"/>
          <c:order val="1"/>
          <c:tx>
            <c:strRef>
              <c:f>'Analýza Rentability'!$D$4</c:f>
              <c:strCache>
                <c:ptCount val="1"/>
                <c:pt idx="0">
                  <c:v>ROE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'Analýza Rentability'!$G$2:$M$2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Rentability'!$G$4:$M$4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DC-4C5C-806B-E901099CFB63}"/>
            </c:ext>
          </c:extLst>
        </c:ser>
        <c:ser>
          <c:idx val="2"/>
          <c:order val="2"/>
          <c:tx>
            <c:strRef>
              <c:f>'Analýza Rentability'!$D$5</c:f>
              <c:strCache>
                <c:ptCount val="1"/>
                <c:pt idx="0">
                  <c:v>ROS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'Analýza Rentability'!$G$2:$M$2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Rentability'!$G$5:$M$5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DC-4C5C-806B-E901099CFB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90524704"/>
        <c:axId val="990525664"/>
      </c:barChart>
      <c:catAx>
        <c:axId val="99052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990525664"/>
        <c:crosses val="autoZero"/>
        <c:auto val="1"/>
        <c:lblAlgn val="ctr"/>
        <c:lblOffset val="100"/>
        <c:noMultiLvlLbl val="0"/>
      </c:catAx>
      <c:valAx>
        <c:axId val="99052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99052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Vývoj ukazatelů likvidity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'Analýza Likvidity'!$D$3</c:f>
              <c:strCache>
                <c:ptCount val="1"/>
                <c:pt idx="0">
                  <c:v>Běžná likvidita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'Analýza Likvidity'!$F$2:$L$2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Likvidity'!$F$3:$L$3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92-40D3-A2DA-5EBFB6B90FBB}"/>
            </c:ext>
          </c:extLst>
        </c:ser>
        <c:ser>
          <c:idx val="1"/>
          <c:order val="1"/>
          <c:tx>
            <c:strRef>
              <c:f>'Analýza Likvidity'!$D$4</c:f>
              <c:strCache>
                <c:ptCount val="1"/>
                <c:pt idx="0">
                  <c:v>Pohotová likvidita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'Analýza Likvidity'!$F$2:$L$2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Likvidity'!$F$4:$L$4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92-40D3-A2DA-5EBFB6B90FBB}"/>
            </c:ext>
          </c:extLst>
        </c:ser>
        <c:ser>
          <c:idx val="2"/>
          <c:order val="2"/>
          <c:tx>
            <c:strRef>
              <c:f>'Analýza Likvidity'!$D$5</c:f>
              <c:strCache>
                <c:ptCount val="1"/>
                <c:pt idx="0">
                  <c:v>Okamžitá (peněžní) likvidita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'Analýza Likvidity'!$F$2:$L$2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Likvidity'!$F$5:$L$5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92-40D3-A2DA-5EBFB6B90F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90524704"/>
        <c:axId val="990525664"/>
      </c:barChart>
      <c:catAx>
        <c:axId val="99052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990525664"/>
        <c:crosses val="autoZero"/>
        <c:auto val="1"/>
        <c:lblAlgn val="ctr"/>
        <c:lblOffset val="100"/>
        <c:noMultiLvlLbl val="0"/>
      </c:catAx>
      <c:valAx>
        <c:axId val="99052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99052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Vývoj vybraných ukazatelů zadluženosti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'Analýza Zadluženosti'!$D$3</c:f>
              <c:strCache>
                <c:ptCount val="1"/>
                <c:pt idx="0">
                  <c:v>Celková zadluženost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'Analýza Zadluženosti'!$F$2:$L$2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Zadluženosti'!$F$3:$L$3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8-4C97-AF9E-763ED780D4C6}"/>
            </c:ext>
          </c:extLst>
        </c:ser>
        <c:ser>
          <c:idx val="1"/>
          <c:order val="1"/>
          <c:tx>
            <c:strRef>
              <c:f>'Analýza Zadluženosti'!$D$4</c:f>
              <c:strCache>
                <c:ptCount val="1"/>
                <c:pt idx="0">
                  <c:v>Zadluženost vlastního kapitálu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'Analýza Zadluženosti'!$F$2:$L$2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Zadluženosti'!$G$4:$L$4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68-4C97-AF9E-763ED780D4C6}"/>
            </c:ext>
          </c:extLst>
        </c:ser>
        <c:ser>
          <c:idx val="2"/>
          <c:order val="2"/>
          <c:tx>
            <c:strRef>
              <c:f>'Analýza Zadluženosti'!$D$5</c:f>
              <c:strCache>
                <c:ptCount val="1"/>
                <c:pt idx="0">
                  <c:v>Finanční samostatnost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'Analýza Zadluženosti'!$F$2:$L$2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Zadluženosti'!$F$5:$L$5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68-4C97-AF9E-763ED780D4C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90524704"/>
        <c:axId val="990525664"/>
      </c:barChart>
      <c:catAx>
        <c:axId val="99052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990525664"/>
        <c:crosses val="autoZero"/>
        <c:auto val="1"/>
        <c:lblAlgn val="ctr"/>
        <c:lblOffset val="100"/>
        <c:noMultiLvlLbl val="0"/>
      </c:catAx>
      <c:valAx>
        <c:axId val="99052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99052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Vývoj ukazatele úrokového krytí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'Analýza Zadluženosti'!$D$6</c:f>
              <c:strCache>
                <c:ptCount val="1"/>
                <c:pt idx="0">
                  <c:v>Úrokové krytí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'Analýza Zadluženosti'!$F$2:$L$2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Zadluženosti'!$F$6:$L$6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FD-4896-8588-1E9C943723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90524704"/>
        <c:axId val="990525664"/>
      </c:barChart>
      <c:catAx>
        <c:axId val="99052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990525664"/>
        <c:crosses val="autoZero"/>
        <c:auto val="1"/>
        <c:lblAlgn val="ctr"/>
        <c:lblOffset val="100"/>
        <c:noMultiLvlLbl val="0"/>
      </c:catAx>
      <c:valAx>
        <c:axId val="99052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99052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cs-CZ"/>
              <a:t>Vývoj ukazatelů aktivity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'Analáza Aktivity'!$D$3</c:f>
              <c:strCache>
                <c:ptCount val="1"/>
                <c:pt idx="0">
                  <c:v>Doba obratu aktiv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'Analáza Aktivity'!$F$2:$L$2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'Analáza Aktivity'!$F$3:$L$3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07-41BE-B3B4-AC8A343E00B1}"/>
            </c:ext>
          </c:extLst>
        </c:ser>
        <c:ser>
          <c:idx val="1"/>
          <c:order val="1"/>
          <c:tx>
            <c:strRef>
              <c:f>'Analáza Aktivity'!$D$4</c:f>
              <c:strCache>
                <c:ptCount val="1"/>
                <c:pt idx="0">
                  <c:v>Doba obratu zásob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'Analáza Aktivity'!$F$2:$L$2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'Analýza Likvidity'!$F$4:$L$4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07-41BE-B3B4-AC8A343E00B1}"/>
            </c:ext>
          </c:extLst>
        </c:ser>
        <c:ser>
          <c:idx val="2"/>
          <c:order val="2"/>
          <c:tx>
            <c:strRef>
              <c:f>'Analáza Aktivity'!$D$5</c:f>
              <c:strCache>
                <c:ptCount val="1"/>
                <c:pt idx="0">
                  <c:v>Doba obratu pohledávek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'Analáza Aktivity'!$F$2:$L$2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'Analáza Aktivity'!$F$5:$L$5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07-41BE-B3B4-AC8A343E00B1}"/>
            </c:ext>
          </c:extLst>
        </c:ser>
        <c:ser>
          <c:idx val="3"/>
          <c:order val="3"/>
          <c:tx>
            <c:strRef>
              <c:f>'Analáza Aktivity'!$D$6</c:f>
              <c:strCache>
                <c:ptCount val="1"/>
                <c:pt idx="0">
                  <c:v>Doba obratu krátk. Závazků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'Analáza Aktivity'!$F$2:$L$2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'Analáza Aktivity'!$F$6:$L$6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07-41BE-B3B4-AC8A343E00B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90524704"/>
        <c:axId val="990525664"/>
      </c:barChart>
      <c:catAx>
        <c:axId val="99052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ROK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990525664"/>
        <c:crosses val="autoZero"/>
        <c:auto val="1"/>
        <c:lblAlgn val="ctr"/>
        <c:lblOffset val="100"/>
        <c:noMultiLvlLbl val="0"/>
      </c:catAx>
      <c:valAx>
        <c:axId val="99052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99052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606425</xdr:colOff>
      <xdr:row>2</xdr:row>
      <xdr:rowOff>117474</xdr:rowOff>
    </xdr:from>
    <xdr:to>
      <xdr:col>5</xdr:col>
      <xdr:colOff>34925</xdr:colOff>
      <xdr:row>5</xdr:row>
      <xdr:rowOff>117474</xdr:rowOff>
    </xdr:to>
    <xdr:sp macro="[0]!Rozvaha" textlink="">
      <xdr:nvSpPr>
        <xdr:cNvPr id="2" name="Šipka: doprava 1">
          <a:extLst>
            <a:ext uri="{FF2B5EF4-FFF2-40B4-BE49-F238E27FC236}">
              <a16:creationId xmlns:a16="http://schemas.microsoft.com/office/drawing/2014/main" id="{3261B8E5-B917-99D4-2193-F95575414B62}"/>
            </a:ext>
          </a:extLst>
        </xdr:cNvPr>
        <xdr:cNvSpPr/>
      </xdr:nvSpPr>
      <xdr:spPr>
        <a:xfrm>
          <a:off x="1216025" y="479424"/>
          <a:ext cx="1866900" cy="5429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Vložení</a:t>
          </a:r>
          <a:r>
            <a:rPr lang="cs-CZ" sz="1100" baseline="0"/>
            <a:t> dat Rozvaha</a:t>
          </a:r>
          <a:endParaRPr lang="cs-CZ" sz="1100"/>
        </a:p>
      </xdr:txBody>
    </xdr:sp>
    <xdr:clientData/>
  </xdr:twoCellAnchor>
  <xdr:twoCellAnchor>
    <xdr:from>
      <xdr:col>2</xdr:col>
      <xdr:colOff>6350</xdr:colOff>
      <xdr:row>6</xdr:row>
      <xdr:rowOff>73025</xdr:rowOff>
    </xdr:from>
    <xdr:to>
      <xdr:col>5</xdr:col>
      <xdr:colOff>44450</xdr:colOff>
      <xdr:row>9</xdr:row>
      <xdr:rowOff>73025</xdr:rowOff>
    </xdr:to>
    <xdr:sp macro="[0]!Rozvaha" textlink="">
      <xdr:nvSpPr>
        <xdr:cNvPr id="3" name="Šipka: doprava 2">
          <a:extLst>
            <a:ext uri="{FF2B5EF4-FFF2-40B4-BE49-F238E27FC236}">
              <a16:creationId xmlns:a16="http://schemas.microsoft.com/office/drawing/2014/main" id="{C1968026-618C-40F9-A21B-DDFB12AFFFE4}"/>
            </a:ext>
          </a:extLst>
        </xdr:cNvPr>
        <xdr:cNvSpPr/>
      </xdr:nvSpPr>
      <xdr:spPr>
        <a:xfrm>
          <a:off x="1225550" y="1158875"/>
          <a:ext cx="1866900" cy="5429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Vložení</a:t>
          </a:r>
          <a:r>
            <a:rPr lang="cs-CZ" sz="1100" baseline="0"/>
            <a:t> dat VZZ</a:t>
          </a:r>
          <a:endParaRPr lang="cs-CZ" sz="1100"/>
        </a:p>
      </xdr:txBody>
    </xdr:sp>
    <xdr:clientData/>
  </xdr:twoCellAnchor>
  <xdr:twoCellAnchor>
    <xdr:from>
      <xdr:col>6</xdr:col>
      <xdr:colOff>0</xdr:colOff>
      <xdr:row>1</xdr:row>
      <xdr:rowOff>38100</xdr:rowOff>
    </xdr:from>
    <xdr:to>
      <xdr:col>12</xdr:col>
      <xdr:colOff>304800</xdr:colOff>
      <xdr:row>12</xdr:row>
      <xdr:rowOff>38100</xdr:rowOff>
    </xdr:to>
    <xdr:sp macro="" textlink="">
      <xdr:nvSpPr>
        <xdr:cNvPr id="4" name="TextovéPole 3">
          <a:extLst>
            <a:ext uri="{FF2B5EF4-FFF2-40B4-BE49-F238E27FC236}">
              <a16:creationId xmlns:a16="http://schemas.microsoft.com/office/drawing/2014/main" id="{35D8CA43-DAE0-7414-9B16-D680C865033E}"/>
            </a:ext>
          </a:extLst>
        </xdr:cNvPr>
        <xdr:cNvSpPr txBox="1"/>
      </xdr:nvSpPr>
      <xdr:spPr>
        <a:xfrm>
          <a:off x="3657600" y="219075"/>
          <a:ext cx="3962400" cy="1990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cs-CZ" sz="1100"/>
            <a:t>Tento excel</a:t>
          </a:r>
          <a:r>
            <a:rPr lang="cs-CZ" sz="1100" baseline="0"/>
            <a:t> slouží jako nástroj pro základní finančí analýzu společnosti.</a:t>
          </a:r>
        </a:p>
        <a:p>
          <a:endParaRPr lang="cs-CZ" sz="1100" baseline="0"/>
        </a:p>
        <a:p>
          <a:r>
            <a:rPr lang="cs-CZ" sz="1100" baseline="0"/>
            <a:t>Využívejte šipek k přesunu v rámci souboru.</a:t>
          </a:r>
        </a:p>
        <a:p>
          <a:endParaRPr lang="cs-CZ" sz="1100" baseline="0"/>
        </a:p>
        <a:p>
          <a:r>
            <a:rPr lang="cs-CZ" sz="1100" baseline="0"/>
            <a:t>Pozorně vnímejte různé popisky v listech. Tyto popisky/poznámky Vám pomohou s prací v listech a také Vám objasná způsob výpočtu různých ukazatelů</a:t>
          </a:r>
        </a:p>
        <a:p>
          <a:endParaRPr lang="cs-CZ" sz="1100" baseline="0"/>
        </a:p>
      </xdr:txBody>
    </xdr:sp>
    <xdr:clientData/>
  </xdr:twoCellAnchor>
  <xdr:twoCellAnchor>
    <xdr:from>
      <xdr:col>2</xdr:col>
      <xdr:colOff>0</xdr:colOff>
      <xdr:row>10</xdr:row>
      <xdr:rowOff>85725</xdr:rowOff>
    </xdr:from>
    <xdr:to>
      <xdr:col>5</xdr:col>
      <xdr:colOff>38100</xdr:colOff>
      <xdr:row>13</xdr:row>
      <xdr:rowOff>85725</xdr:rowOff>
    </xdr:to>
    <xdr:sp macro="[0]!Menu" textlink="">
      <xdr:nvSpPr>
        <xdr:cNvPr id="8" name="Šipka: doprava 7">
          <a:extLst>
            <a:ext uri="{FF2B5EF4-FFF2-40B4-BE49-F238E27FC236}">
              <a16:creationId xmlns:a16="http://schemas.microsoft.com/office/drawing/2014/main" id="{73C1490A-CADC-494A-84EF-5B240BB7D0D3}"/>
            </a:ext>
          </a:extLst>
        </xdr:cNvPr>
        <xdr:cNvSpPr/>
      </xdr:nvSpPr>
      <xdr:spPr>
        <a:xfrm>
          <a:off x="1219200" y="1895475"/>
          <a:ext cx="1866900" cy="5429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Menu analýz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28</xdr:row>
      <xdr:rowOff>104775</xdr:rowOff>
    </xdr:from>
    <xdr:to>
      <xdr:col>0</xdr:col>
      <xdr:colOff>1444625</xdr:colOff>
      <xdr:row>32</xdr:row>
      <xdr:rowOff>0</xdr:rowOff>
    </xdr:to>
    <xdr:sp macro="[0]!Zpět" textlink="">
      <xdr:nvSpPr>
        <xdr:cNvPr id="2" name="Šipka: doleva 1">
          <a:extLst>
            <a:ext uri="{FF2B5EF4-FFF2-40B4-BE49-F238E27FC236}">
              <a16:creationId xmlns:a16="http://schemas.microsoft.com/office/drawing/2014/main" id="{5A4CF1F2-E456-5861-7C47-4DB5ADE824C3}"/>
            </a:ext>
          </a:extLst>
        </xdr:cNvPr>
        <xdr:cNvSpPr/>
      </xdr:nvSpPr>
      <xdr:spPr>
        <a:xfrm>
          <a:off x="63500" y="5191125"/>
          <a:ext cx="1381125" cy="6191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Zpět</a:t>
          </a:r>
          <a:r>
            <a:rPr lang="cs-CZ" sz="1100" baseline="0"/>
            <a:t> na úvod</a:t>
          </a:r>
          <a:endParaRPr lang="cs-CZ" sz="1100"/>
        </a:p>
      </xdr:txBody>
    </xdr:sp>
    <xdr:clientData/>
  </xdr:twoCellAnchor>
  <xdr:twoCellAnchor>
    <xdr:from>
      <xdr:col>5</xdr:col>
      <xdr:colOff>447675</xdr:colOff>
      <xdr:row>28</xdr:row>
      <xdr:rowOff>57150</xdr:rowOff>
    </xdr:from>
    <xdr:to>
      <xdr:col>7</xdr:col>
      <xdr:colOff>549275</xdr:colOff>
      <xdr:row>31</xdr:row>
      <xdr:rowOff>82550</xdr:rowOff>
    </xdr:to>
    <xdr:sp macro="[0]!VZZ" textlink="">
      <xdr:nvSpPr>
        <xdr:cNvPr id="5" name="Šipka: doprava 4">
          <a:extLst>
            <a:ext uri="{FF2B5EF4-FFF2-40B4-BE49-F238E27FC236}">
              <a16:creationId xmlns:a16="http://schemas.microsoft.com/office/drawing/2014/main" id="{CF1309B5-1D36-D995-CDF2-D99BEF7DE12C}"/>
            </a:ext>
          </a:extLst>
        </xdr:cNvPr>
        <xdr:cNvSpPr/>
      </xdr:nvSpPr>
      <xdr:spPr>
        <a:xfrm>
          <a:off x="7543800" y="5143500"/>
          <a:ext cx="1320800" cy="5683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cs-CZ" sz="1100"/>
            <a:t>Vstupní</a:t>
          </a:r>
          <a:r>
            <a:rPr lang="cs-CZ" sz="1100" baseline="0"/>
            <a:t> data VZZ</a:t>
          </a:r>
          <a:endParaRPr lang="cs-C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104775</xdr:rowOff>
    </xdr:from>
    <xdr:to>
      <xdr:col>0</xdr:col>
      <xdr:colOff>1377950</xdr:colOff>
      <xdr:row>33</xdr:row>
      <xdr:rowOff>0</xdr:rowOff>
    </xdr:to>
    <xdr:sp macro="[0]!Zpět" textlink="">
      <xdr:nvSpPr>
        <xdr:cNvPr id="3" name="Šipka: doleva 2">
          <a:extLst>
            <a:ext uri="{FF2B5EF4-FFF2-40B4-BE49-F238E27FC236}">
              <a16:creationId xmlns:a16="http://schemas.microsoft.com/office/drawing/2014/main" id="{0135ACC9-CE18-45AC-A783-8C405C0773A8}"/>
            </a:ext>
          </a:extLst>
        </xdr:cNvPr>
        <xdr:cNvSpPr/>
      </xdr:nvSpPr>
      <xdr:spPr>
        <a:xfrm>
          <a:off x="0" y="5438775"/>
          <a:ext cx="1377950" cy="6191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Zpět</a:t>
          </a:r>
          <a:r>
            <a:rPr lang="cs-CZ" sz="1100" baseline="0"/>
            <a:t> na úvod</a:t>
          </a:r>
          <a:endParaRPr lang="cs-CZ" sz="1100"/>
        </a:p>
      </xdr:txBody>
    </xdr:sp>
    <xdr:clientData/>
  </xdr:twoCellAnchor>
  <xdr:twoCellAnchor>
    <xdr:from>
      <xdr:col>5</xdr:col>
      <xdr:colOff>504825</xdr:colOff>
      <xdr:row>29</xdr:row>
      <xdr:rowOff>76200</xdr:rowOff>
    </xdr:from>
    <xdr:to>
      <xdr:col>8</xdr:col>
      <xdr:colOff>0</xdr:colOff>
      <xdr:row>32</xdr:row>
      <xdr:rowOff>104775</xdr:rowOff>
    </xdr:to>
    <xdr:sp macro="[0]!Menu" textlink="">
      <xdr:nvSpPr>
        <xdr:cNvPr id="6" name="Šipka: doprava 5">
          <a:extLst>
            <a:ext uri="{FF2B5EF4-FFF2-40B4-BE49-F238E27FC236}">
              <a16:creationId xmlns:a16="http://schemas.microsoft.com/office/drawing/2014/main" id="{B6F8F0B7-4832-451F-B4D6-3F47DB9460BD}"/>
            </a:ext>
          </a:extLst>
        </xdr:cNvPr>
        <xdr:cNvSpPr/>
      </xdr:nvSpPr>
      <xdr:spPr>
        <a:xfrm>
          <a:off x="5829300" y="5410200"/>
          <a:ext cx="1323975" cy="5715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Menu analýzy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454025</xdr:colOff>
      <xdr:row>0</xdr:row>
      <xdr:rowOff>152400</xdr:rowOff>
    </xdr:from>
    <xdr:to>
      <xdr:col>9</xdr:col>
      <xdr:colOff>428400</xdr:colOff>
      <xdr:row>4</xdr:row>
      <xdr:rowOff>12334</xdr:rowOff>
    </xdr:to>
    <xdr:sp macro="[0]!Tržby" textlink="">
      <xdr:nvSpPr>
        <xdr:cNvPr id="2" name="Obdélník 1">
          <a:extLst>
            <a:ext uri="{FF2B5EF4-FFF2-40B4-BE49-F238E27FC236}">
              <a16:creationId xmlns:a16="http://schemas.microsoft.com/office/drawing/2014/main" id="{094A6571-30AB-537A-5E39-C859821CA3C2}"/>
            </a:ext>
          </a:extLst>
        </xdr:cNvPr>
        <xdr:cNvSpPr/>
      </xdr:nvSpPr>
      <xdr:spPr>
        <a:xfrm>
          <a:off x="4111625" y="152400"/>
          <a:ext cx="1803175" cy="583834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Analýza tržeb</a:t>
          </a:r>
        </a:p>
      </xdr:txBody>
    </xdr:sp>
    <xdr:clientData/>
  </xdr:twoCellAnchor>
  <xdr:twoCellAnchor>
    <xdr:from>
      <xdr:col>6</xdr:col>
      <xdr:colOff>457200</xdr:colOff>
      <xdr:row>4</xdr:row>
      <xdr:rowOff>106497</xdr:rowOff>
    </xdr:from>
    <xdr:to>
      <xdr:col>9</xdr:col>
      <xdr:colOff>431575</xdr:colOff>
      <xdr:row>7</xdr:row>
      <xdr:rowOff>134674</xdr:rowOff>
    </xdr:to>
    <xdr:sp macro="[0]!VH" textlink="">
      <xdr:nvSpPr>
        <xdr:cNvPr id="4" name="Obdélník 3">
          <a:extLst>
            <a:ext uri="{FF2B5EF4-FFF2-40B4-BE49-F238E27FC236}">
              <a16:creationId xmlns:a16="http://schemas.microsoft.com/office/drawing/2014/main" id="{71CB9F26-4166-40CF-AEC5-5AF4CCB7253E}"/>
            </a:ext>
          </a:extLst>
        </xdr:cNvPr>
        <xdr:cNvSpPr/>
      </xdr:nvSpPr>
      <xdr:spPr>
        <a:xfrm>
          <a:off x="4114800" y="830397"/>
          <a:ext cx="1803175" cy="57110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Analýza výsledku hospodaření</a:t>
          </a:r>
        </a:p>
      </xdr:txBody>
    </xdr:sp>
    <xdr:clientData/>
  </xdr:twoCellAnchor>
  <xdr:twoCellAnchor>
    <xdr:from>
      <xdr:col>9</xdr:col>
      <xdr:colOff>527047</xdr:colOff>
      <xdr:row>0</xdr:row>
      <xdr:rowOff>161940</xdr:rowOff>
    </xdr:from>
    <xdr:to>
      <xdr:col>12</xdr:col>
      <xdr:colOff>498247</xdr:colOff>
      <xdr:row>4</xdr:row>
      <xdr:rowOff>9150</xdr:rowOff>
    </xdr:to>
    <xdr:sp macro="[0]!Rozvaha_an" textlink="">
      <xdr:nvSpPr>
        <xdr:cNvPr id="6" name="Obdélník 5">
          <a:extLst>
            <a:ext uri="{FF2B5EF4-FFF2-40B4-BE49-F238E27FC236}">
              <a16:creationId xmlns:a16="http://schemas.microsoft.com/office/drawing/2014/main" id="{51B1D20D-E3F2-4F32-9E47-EB827CA08D40}"/>
            </a:ext>
          </a:extLst>
        </xdr:cNvPr>
        <xdr:cNvSpPr/>
      </xdr:nvSpPr>
      <xdr:spPr>
        <a:xfrm>
          <a:off x="6013447" y="161940"/>
          <a:ext cx="1800000" cy="571110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Analýza</a:t>
          </a:r>
          <a:r>
            <a:rPr lang="cs-CZ" sz="1100" baseline="0"/>
            <a:t> jednotlivých složek rozvahy</a:t>
          </a:r>
          <a:endParaRPr lang="cs-CZ" sz="11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4</xdr:col>
      <xdr:colOff>0</xdr:colOff>
      <xdr:row>17</xdr:row>
      <xdr:rowOff>82550</xdr:rowOff>
    </xdr:to>
    <xdr:sp macro="[0]!Zpět" textlink="">
      <xdr:nvSpPr>
        <xdr:cNvPr id="11" name="Šipka: doleva 10">
          <a:extLst>
            <a:ext uri="{FF2B5EF4-FFF2-40B4-BE49-F238E27FC236}">
              <a16:creationId xmlns:a16="http://schemas.microsoft.com/office/drawing/2014/main" id="{76BA5D77-C3F0-409E-98C5-A217F02169F5}"/>
            </a:ext>
          </a:extLst>
        </xdr:cNvPr>
        <xdr:cNvSpPr/>
      </xdr:nvSpPr>
      <xdr:spPr>
        <a:xfrm>
          <a:off x="609600" y="2533650"/>
          <a:ext cx="1828800" cy="62547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Zpět</a:t>
          </a:r>
          <a:r>
            <a:rPr lang="cs-CZ" sz="1100" baseline="0"/>
            <a:t> na úvod</a:t>
          </a:r>
          <a:endParaRPr lang="cs-CZ" sz="1100"/>
        </a:p>
      </xdr:txBody>
    </xdr:sp>
    <xdr:clientData/>
  </xdr:twoCellAnchor>
  <xdr:twoCellAnchor>
    <xdr:from>
      <xdr:col>1</xdr:col>
      <xdr:colOff>0</xdr:colOff>
      <xdr:row>18</xdr:row>
      <xdr:rowOff>84137</xdr:rowOff>
    </xdr:from>
    <xdr:to>
      <xdr:col>4</xdr:col>
      <xdr:colOff>0</xdr:colOff>
      <xdr:row>21</xdr:row>
      <xdr:rowOff>173037</xdr:rowOff>
    </xdr:to>
    <xdr:sp macro="[0]!Rozvaha" textlink="">
      <xdr:nvSpPr>
        <xdr:cNvPr id="12" name="Šipka: doleva 11">
          <a:extLst>
            <a:ext uri="{FF2B5EF4-FFF2-40B4-BE49-F238E27FC236}">
              <a16:creationId xmlns:a16="http://schemas.microsoft.com/office/drawing/2014/main" id="{C6A49F60-FC00-41A7-BDFA-45549C8AABB8}"/>
            </a:ext>
          </a:extLst>
        </xdr:cNvPr>
        <xdr:cNvSpPr/>
      </xdr:nvSpPr>
      <xdr:spPr>
        <a:xfrm>
          <a:off x="609600" y="3341687"/>
          <a:ext cx="1828800" cy="6318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Vstupní data Rozvaha</a:t>
          </a: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4</xdr:col>
      <xdr:colOff>0</xdr:colOff>
      <xdr:row>26</xdr:row>
      <xdr:rowOff>82550</xdr:rowOff>
    </xdr:to>
    <xdr:sp macro="[0]!VZZ" textlink="">
      <xdr:nvSpPr>
        <xdr:cNvPr id="15" name="Šipka: doleva 14">
          <a:extLst>
            <a:ext uri="{FF2B5EF4-FFF2-40B4-BE49-F238E27FC236}">
              <a16:creationId xmlns:a16="http://schemas.microsoft.com/office/drawing/2014/main" id="{FFA6ABC3-5F62-4E77-A21E-EBD99CA69898}"/>
            </a:ext>
          </a:extLst>
        </xdr:cNvPr>
        <xdr:cNvSpPr/>
      </xdr:nvSpPr>
      <xdr:spPr>
        <a:xfrm>
          <a:off x="609600" y="4162425"/>
          <a:ext cx="1828800" cy="62547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Vstupní data VZZ</a:t>
          </a:r>
        </a:p>
      </xdr:txBody>
    </xdr:sp>
    <xdr:clientData/>
  </xdr:twoCellAnchor>
  <xdr:twoCellAnchor>
    <xdr:from>
      <xdr:col>12</xdr:col>
      <xdr:colOff>590989</xdr:colOff>
      <xdr:row>0</xdr:row>
      <xdr:rowOff>158749</xdr:rowOff>
    </xdr:from>
    <xdr:to>
      <xdr:col>15</xdr:col>
      <xdr:colOff>559014</xdr:colOff>
      <xdr:row>4</xdr:row>
      <xdr:rowOff>10849</xdr:rowOff>
    </xdr:to>
    <xdr:sp macro="[0]!Likvidita" textlink="">
      <xdr:nvSpPr>
        <xdr:cNvPr id="26" name="Obdélník 25">
          <a:extLst>
            <a:ext uri="{FF2B5EF4-FFF2-40B4-BE49-F238E27FC236}">
              <a16:creationId xmlns:a16="http://schemas.microsoft.com/office/drawing/2014/main" id="{A8B8D85F-E816-53FB-7BDD-89F32BD85526}"/>
            </a:ext>
          </a:extLst>
        </xdr:cNvPr>
        <xdr:cNvSpPr/>
      </xdr:nvSpPr>
      <xdr:spPr>
        <a:xfrm>
          <a:off x="7906189" y="158749"/>
          <a:ext cx="1796825" cy="5760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Analýza rentability</a:t>
          </a:r>
        </a:p>
      </xdr:txBody>
    </xdr:sp>
    <xdr:clientData/>
  </xdr:twoCellAnchor>
  <xdr:twoCellAnchor>
    <xdr:from>
      <xdr:col>12</xdr:col>
      <xdr:colOff>587814</xdr:colOff>
      <xdr:row>4</xdr:row>
      <xdr:rowOff>60022</xdr:rowOff>
    </xdr:from>
    <xdr:to>
      <xdr:col>15</xdr:col>
      <xdr:colOff>559014</xdr:colOff>
      <xdr:row>7</xdr:row>
      <xdr:rowOff>93097</xdr:rowOff>
    </xdr:to>
    <xdr:sp macro="[0]!Likvidita" textlink="">
      <xdr:nvSpPr>
        <xdr:cNvPr id="27" name="Obdélník 26">
          <a:extLst>
            <a:ext uri="{FF2B5EF4-FFF2-40B4-BE49-F238E27FC236}">
              <a16:creationId xmlns:a16="http://schemas.microsoft.com/office/drawing/2014/main" id="{66717856-E6D9-7BA6-067B-1F31230A0514}"/>
            </a:ext>
          </a:extLst>
        </xdr:cNvPr>
        <xdr:cNvSpPr/>
      </xdr:nvSpPr>
      <xdr:spPr>
        <a:xfrm>
          <a:off x="7903014" y="783922"/>
          <a:ext cx="1800000" cy="5760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Analýza likvidity</a:t>
          </a:r>
        </a:p>
      </xdr:txBody>
    </xdr:sp>
    <xdr:clientData/>
  </xdr:twoCellAnchor>
  <xdr:twoCellAnchor>
    <xdr:from>
      <xdr:col>12</xdr:col>
      <xdr:colOff>587814</xdr:colOff>
      <xdr:row>7</xdr:row>
      <xdr:rowOff>125015</xdr:rowOff>
    </xdr:from>
    <xdr:to>
      <xdr:col>15</xdr:col>
      <xdr:colOff>559312</xdr:colOff>
      <xdr:row>10</xdr:row>
      <xdr:rowOff>158090</xdr:rowOff>
    </xdr:to>
    <xdr:sp macro="[0]!Zadluženost" textlink="">
      <xdr:nvSpPr>
        <xdr:cNvPr id="34" name="Obdélník 33">
          <a:extLst>
            <a:ext uri="{FF2B5EF4-FFF2-40B4-BE49-F238E27FC236}">
              <a16:creationId xmlns:a16="http://schemas.microsoft.com/office/drawing/2014/main" id="{E6C8C345-557D-7EF0-98A1-0D8F1CDA58E7}"/>
            </a:ext>
          </a:extLst>
        </xdr:cNvPr>
        <xdr:cNvSpPr/>
      </xdr:nvSpPr>
      <xdr:spPr>
        <a:xfrm>
          <a:off x="7903014" y="1391840"/>
          <a:ext cx="1800298" cy="5760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Analýza zadluženosti</a:t>
          </a:r>
        </a:p>
      </xdr:txBody>
    </xdr:sp>
    <xdr:clientData/>
  </xdr:twoCellAnchor>
  <xdr:twoCellAnchor>
    <xdr:from>
      <xdr:col>12</xdr:col>
      <xdr:colOff>590989</xdr:colOff>
      <xdr:row>11</xdr:row>
      <xdr:rowOff>18453</xdr:rowOff>
    </xdr:from>
    <xdr:to>
      <xdr:col>15</xdr:col>
      <xdr:colOff>562487</xdr:colOff>
      <xdr:row>14</xdr:row>
      <xdr:rowOff>51528</xdr:rowOff>
    </xdr:to>
    <xdr:sp macro="[0]!Aktivita" textlink="">
      <xdr:nvSpPr>
        <xdr:cNvPr id="35" name="Obdélník 34">
          <a:extLst>
            <a:ext uri="{FF2B5EF4-FFF2-40B4-BE49-F238E27FC236}">
              <a16:creationId xmlns:a16="http://schemas.microsoft.com/office/drawing/2014/main" id="{4C980F0C-B450-14C8-A5E3-0FB48B644584}"/>
            </a:ext>
          </a:extLst>
        </xdr:cNvPr>
        <xdr:cNvSpPr/>
      </xdr:nvSpPr>
      <xdr:spPr>
        <a:xfrm>
          <a:off x="7906189" y="2009178"/>
          <a:ext cx="1800298" cy="5760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Analýza aktivity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20</xdr:row>
      <xdr:rowOff>158751</xdr:rowOff>
    </xdr:from>
    <xdr:to>
      <xdr:col>23</xdr:col>
      <xdr:colOff>38100</xdr:colOff>
      <xdr:row>42</xdr:row>
      <xdr:rowOff>171451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CFAF11E8-2388-553D-20C8-10476843E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520700</xdr:colOff>
      <xdr:row>0</xdr:row>
      <xdr:rowOff>133351</xdr:rowOff>
    </xdr:from>
    <xdr:to>
      <xdr:col>22</xdr:col>
      <xdr:colOff>381000</xdr:colOff>
      <xdr:row>19</xdr:row>
      <xdr:rowOff>161926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771C602-1903-7BD8-E892-C5525D6B78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</xdr:row>
      <xdr:rowOff>133350</xdr:rowOff>
    </xdr:from>
    <xdr:to>
      <xdr:col>2</xdr:col>
      <xdr:colOff>511175</xdr:colOff>
      <xdr:row>9</xdr:row>
      <xdr:rowOff>28575</xdr:rowOff>
    </xdr:to>
    <xdr:sp macro="[0]!Menu" textlink="">
      <xdr:nvSpPr>
        <xdr:cNvPr id="5" name="Šipka: doleva 4">
          <a:extLst>
            <a:ext uri="{FF2B5EF4-FFF2-40B4-BE49-F238E27FC236}">
              <a16:creationId xmlns:a16="http://schemas.microsoft.com/office/drawing/2014/main" id="{3174D642-1ADA-4A89-81B8-97D55AE3005C}"/>
            </a:ext>
          </a:extLst>
        </xdr:cNvPr>
        <xdr:cNvSpPr/>
      </xdr:nvSpPr>
      <xdr:spPr>
        <a:xfrm>
          <a:off x="619125" y="1038225"/>
          <a:ext cx="1377950" cy="6191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Zpět</a:t>
          </a:r>
          <a:r>
            <a:rPr lang="cs-CZ" sz="1100" baseline="0"/>
            <a:t> do Menu</a:t>
          </a:r>
          <a:endParaRPr lang="cs-C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5</xdr:row>
      <xdr:rowOff>171450</xdr:rowOff>
    </xdr:from>
    <xdr:to>
      <xdr:col>27</xdr:col>
      <xdr:colOff>63500</xdr:colOff>
      <xdr:row>28</xdr:row>
      <xdr:rowOff>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2823ADB0-4CBC-41D6-8C2A-340ED58C7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130175</xdr:colOff>
      <xdr:row>6</xdr:row>
      <xdr:rowOff>47625</xdr:rowOff>
    </xdr:from>
    <xdr:to>
      <xdr:col>12</xdr:col>
      <xdr:colOff>590550</xdr:colOff>
      <xdr:row>25</xdr:row>
      <xdr:rowOff>73025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9F5CE794-48C3-471F-9541-9CED22ABC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514350</xdr:colOff>
      <xdr:row>0</xdr:row>
      <xdr:rowOff>142875</xdr:rowOff>
    </xdr:from>
    <xdr:to>
      <xdr:col>3</xdr:col>
      <xdr:colOff>63500</xdr:colOff>
      <xdr:row>4</xdr:row>
      <xdr:rowOff>34925</xdr:rowOff>
    </xdr:to>
    <xdr:sp macro="[0]!Menu" textlink="">
      <xdr:nvSpPr>
        <xdr:cNvPr id="5" name="Šipka: doleva 4">
          <a:extLst>
            <a:ext uri="{FF2B5EF4-FFF2-40B4-BE49-F238E27FC236}">
              <a16:creationId xmlns:a16="http://schemas.microsoft.com/office/drawing/2014/main" id="{F9CEE10F-08E1-41B5-8F97-E4726C75BA04}"/>
            </a:ext>
          </a:extLst>
        </xdr:cNvPr>
        <xdr:cNvSpPr/>
      </xdr:nvSpPr>
      <xdr:spPr>
        <a:xfrm>
          <a:off x="514350" y="142875"/>
          <a:ext cx="1377950" cy="61595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Zpět</a:t>
          </a:r>
          <a:r>
            <a:rPr lang="cs-CZ" sz="1100" baseline="0"/>
            <a:t> do Menu</a:t>
          </a:r>
          <a:endParaRPr lang="cs-C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244475</xdr:colOff>
      <xdr:row>6</xdr:row>
      <xdr:rowOff>53975</xdr:rowOff>
    </xdr:from>
    <xdr:to>
      <xdr:col>14</xdr:col>
      <xdr:colOff>390525</xdr:colOff>
      <xdr:row>28</xdr:row>
      <xdr:rowOff>63500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E618FC41-88C5-4A59-A111-B87724AA76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352425</xdr:colOff>
      <xdr:row>6</xdr:row>
      <xdr:rowOff>19050</xdr:rowOff>
    </xdr:from>
    <xdr:to>
      <xdr:col>28</xdr:col>
      <xdr:colOff>492125</xdr:colOff>
      <xdr:row>28</xdr:row>
      <xdr:rowOff>28575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935CF6E6-5EFF-4886-8ABD-A4B265F052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295275</xdr:colOff>
      <xdr:row>30</xdr:row>
      <xdr:rowOff>142875</xdr:rowOff>
    </xdr:from>
    <xdr:to>
      <xdr:col>14</xdr:col>
      <xdr:colOff>434975</xdr:colOff>
      <xdr:row>52</xdr:row>
      <xdr:rowOff>152400</xdr:rowOff>
    </xdr:to>
    <xdr:graphicFrame macro="">
      <xdr:nvGraphicFramePr>
        <xdr:cNvPr id="6" name="Graf 5">
          <a:extLst>
            <a:ext uri="{FF2B5EF4-FFF2-40B4-BE49-F238E27FC236}">
              <a16:creationId xmlns:a16="http://schemas.microsoft.com/office/drawing/2014/main" id="{5B0F3E1F-2302-4205-822C-B2547EEEE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320675</xdr:colOff>
      <xdr:row>30</xdr:row>
      <xdr:rowOff>149225</xdr:rowOff>
    </xdr:from>
    <xdr:to>
      <xdr:col>28</xdr:col>
      <xdr:colOff>466725</xdr:colOff>
      <xdr:row>52</xdr:row>
      <xdr:rowOff>158750</xdr:rowOff>
    </xdr:to>
    <xdr:graphicFrame macro="">
      <xdr:nvGraphicFramePr>
        <xdr:cNvPr id="7" name="Graf 6">
          <a:extLst>
            <a:ext uri="{FF2B5EF4-FFF2-40B4-BE49-F238E27FC236}">
              <a16:creationId xmlns:a16="http://schemas.microsoft.com/office/drawing/2014/main" id="{81BF6FCA-183D-4AF4-AEF6-19B8730502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552450</xdr:colOff>
      <xdr:row>0</xdr:row>
      <xdr:rowOff>104775</xdr:rowOff>
    </xdr:from>
    <xdr:to>
      <xdr:col>4</xdr:col>
      <xdr:colOff>101600</xdr:colOff>
      <xdr:row>3</xdr:row>
      <xdr:rowOff>177800</xdr:rowOff>
    </xdr:to>
    <xdr:sp macro="[0]!Menu" textlink="">
      <xdr:nvSpPr>
        <xdr:cNvPr id="8" name="Šipka: doleva 7">
          <a:extLst>
            <a:ext uri="{FF2B5EF4-FFF2-40B4-BE49-F238E27FC236}">
              <a16:creationId xmlns:a16="http://schemas.microsoft.com/office/drawing/2014/main" id="{AF65C3E7-F68D-4091-BFEB-3D9326D9446E}"/>
            </a:ext>
          </a:extLst>
        </xdr:cNvPr>
        <xdr:cNvSpPr/>
      </xdr:nvSpPr>
      <xdr:spPr>
        <a:xfrm>
          <a:off x="1162050" y="104775"/>
          <a:ext cx="1377950" cy="61595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Zpět</a:t>
          </a:r>
          <a:r>
            <a:rPr lang="cs-CZ" sz="1100" baseline="0"/>
            <a:t> do Menu</a:t>
          </a:r>
          <a:endParaRPr lang="cs-C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0</xdr:rowOff>
    </xdr:from>
    <xdr:to>
      <xdr:col>2</xdr:col>
      <xdr:colOff>485775</xdr:colOff>
      <xdr:row>4</xdr:row>
      <xdr:rowOff>73025</xdr:rowOff>
    </xdr:to>
    <xdr:sp macro="[0]!Menu" textlink="">
      <xdr:nvSpPr>
        <xdr:cNvPr id="2" name="Šipka: doleva 1">
          <a:extLst>
            <a:ext uri="{FF2B5EF4-FFF2-40B4-BE49-F238E27FC236}">
              <a16:creationId xmlns:a16="http://schemas.microsoft.com/office/drawing/2014/main" id="{3E88408B-62BF-4EDA-A35A-A8F62E8F5960}"/>
            </a:ext>
          </a:extLst>
        </xdr:cNvPr>
        <xdr:cNvSpPr/>
      </xdr:nvSpPr>
      <xdr:spPr>
        <a:xfrm>
          <a:off x="57150" y="180975"/>
          <a:ext cx="1647825" cy="61595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Zpět</a:t>
          </a:r>
          <a:r>
            <a:rPr lang="cs-CZ" sz="1100" baseline="0"/>
            <a:t> do Menu</a:t>
          </a:r>
          <a:endParaRPr lang="cs-CZ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13</xdr:col>
      <xdr:colOff>0</xdr:colOff>
      <xdr:row>30</xdr:row>
      <xdr:rowOff>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F72A57EB-6242-17F4-EB0B-6BC4EC5492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425450</xdr:colOff>
      <xdr:row>4</xdr:row>
      <xdr:rowOff>73025</xdr:rowOff>
    </xdr:to>
    <xdr:sp macro="[0]!Menu" textlink="">
      <xdr:nvSpPr>
        <xdr:cNvPr id="2" name="Šipka: doleva 1">
          <a:extLst>
            <a:ext uri="{FF2B5EF4-FFF2-40B4-BE49-F238E27FC236}">
              <a16:creationId xmlns:a16="http://schemas.microsoft.com/office/drawing/2014/main" id="{F4050D9C-C051-4C99-B23A-FB5477B0AEC2}"/>
            </a:ext>
          </a:extLst>
        </xdr:cNvPr>
        <xdr:cNvSpPr/>
      </xdr:nvSpPr>
      <xdr:spPr>
        <a:xfrm>
          <a:off x="0" y="180975"/>
          <a:ext cx="1644650" cy="61595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Zpět</a:t>
          </a:r>
          <a:r>
            <a:rPr lang="cs-CZ" sz="1100" baseline="0"/>
            <a:t> do Menu</a:t>
          </a:r>
          <a:endParaRPr lang="cs-CZ" sz="1100"/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19</xdr:col>
      <xdr:colOff>28575</xdr:colOff>
      <xdr:row>31</xdr:row>
      <xdr:rowOff>0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98E86E34-9AD4-4B1E-916B-D21F8155E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9525</xdr:rowOff>
    </xdr:from>
    <xdr:to>
      <xdr:col>2</xdr:col>
      <xdr:colOff>454025</xdr:colOff>
      <xdr:row>4</xdr:row>
      <xdr:rowOff>82550</xdr:rowOff>
    </xdr:to>
    <xdr:sp macro="[0]!Menu" textlink="">
      <xdr:nvSpPr>
        <xdr:cNvPr id="2" name="Šipka: doleva 1">
          <a:extLst>
            <a:ext uri="{FF2B5EF4-FFF2-40B4-BE49-F238E27FC236}">
              <a16:creationId xmlns:a16="http://schemas.microsoft.com/office/drawing/2014/main" id="{A26896DB-D15F-4436-8667-85C1608272BD}"/>
            </a:ext>
          </a:extLst>
        </xdr:cNvPr>
        <xdr:cNvSpPr/>
      </xdr:nvSpPr>
      <xdr:spPr>
        <a:xfrm>
          <a:off x="28575" y="190500"/>
          <a:ext cx="1644650" cy="61595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Zpět</a:t>
          </a:r>
          <a:r>
            <a:rPr lang="cs-CZ" sz="1100" baseline="0"/>
            <a:t> do Menu</a:t>
          </a:r>
          <a:endParaRPr lang="cs-CZ" sz="1100"/>
        </a:p>
      </xdr:txBody>
    </xdr:sp>
    <xdr:clientData/>
  </xdr:twoCellAnchor>
  <xdr:twoCellAnchor>
    <xdr:from>
      <xdr:col>0</xdr:col>
      <xdr:colOff>76200</xdr:colOff>
      <xdr:row>7</xdr:row>
      <xdr:rowOff>158750</xdr:rowOff>
    </xdr:from>
    <xdr:to>
      <xdr:col>11</xdr:col>
      <xdr:colOff>419100</xdr:colOff>
      <xdr:row>30</xdr:row>
      <xdr:rowOff>158750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19E131D6-440D-466F-9973-3A3249397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82549</xdr:colOff>
      <xdr:row>31</xdr:row>
      <xdr:rowOff>57151</xdr:rowOff>
    </xdr:from>
    <xdr:to>
      <xdr:col>11</xdr:col>
      <xdr:colOff>314324</xdr:colOff>
      <xdr:row>54</xdr:row>
      <xdr:rowOff>47626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79933-9D1A-4E1A-A484-E411EB8B1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142875</xdr:rowOff>
    </xdr:from>
    <xdr:to>
      <xdr:col>2</xdr:col>
      <xdr:colOff>434975</xdr:colOff>
      <xdr:row>5</xdr:row>
      <xdr:rowOff>44450</xdr:rowOff>
    </xdr:to>
    <xdr:sp macro="[0]!Menu" textlink="">
      <xdr:nvSpPr>
        <xdr:cNvPr id="2" name="Šipka: doleva 1">
          <a:extLst>
            <a:ext uri="{FF2B5EF4-FFF2-40B4-BE49-F238E27FC236}">
              <a16:creationId xmlns:a16="http://schemas.microsoft.com/office/drawing/2014/main" id="{BC131944-60DD-403A-A3FA-3144BA313A63}"/>
            </a:ext>
          </a:extLst>
        </xdr:cNvPr>
        <xdr:cNvSpPr/>
      </xdr:nvSpPr>
      <xdr:spPr>
        <a:xfrm>
          <a:off x="9525" y="323850"/>
          <a:ext cx="1644650" cy="62547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1100"/>
            <a:t>Zpět</a:t>
          </a:r>
          <a:r>
            <a:rPr lang="cs-CZ" sz="1100" baseline="0"/>
            <a:t> do Menu</a:t>
          </a:r>
          <a:endParaRPr lang="cs-CZ" sz="1100"/>
        </a:p>
      </xdr:txBody>
    </xdr:sp>
    <xdr:clientData/>
  </xdr:twoCellAnchor>
  <xdr:twoCellAnchor>
    <xdr:from>
      <xdr:col>2</xdr:col>
      <xdr:colOff>606425</xdr:colOff>
      <xdr:row>9</xdr:row>
      <xdr:rowOff>123825</xdr:rowOff>
    </xdr:from>
    <xdr:to>
      <xdr:col>13</xdr:col>
      <xdr:colOff>581025</xdr:colOff>
      <xdr:row>32</xdr:row>
      <xdr:rowOff>123825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8E43A518-0855-4B72-93EB-C87F8E4D19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6EA92-5A86-4B29-A7FA-4120F685EC32}">
  <sheetPr codeName="List1"/>
  <dimension ref="A1"/>
  <sheetViews>
    <sheetView showGridLines="0" tabSelected="1" zoomScaleNormal="100" workbookViewId="0">
      <selection activeCell="S10" sqref="S10"/>
    </sheetView>
  </sheetViews>
  <sheetFormatPr defaultRowHeight="14.5" x14ac:dyDescent="0.35"/>
  <sheetData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3A350-A0CB-4997-9B72-CB0C21270E33}">
  <sheetPr codeName="List2"/>
  <dimension ref="A1:K27"/>
  <sheetViews>
    <sheetView showGridLines="0" zoomScaleNormal="100" workbookViewId="0">
      <selection activeCell="B33" sqref="B33"/>
    </sheetView>
  </sheetViews>
  <sheetFormatPr defaultRowHeight="14.5" x14ac:dyDescent="0.35"/>
  <cols>
    <col min="1" max="1" width="46.90625" bestFit="1" customWidth="1"/>
    <col min="2" max="2" width="28.453125" customWidth="1"/>
    <col min="11" max="11" width="38.1796875" bestFit="1" customWidth="1"/>
  </cols>
  <sheetData>
    <row r="1" spans="1:11" x14ac:dyDescent="0.35">
      <c r="A1" s="28" t="s">
        <v>11</v>
      </c>
      <c r="B1" s="25" t="s">
        <v>53</v>
      </c>
      <c r="C1" s="26"/>
      <c r="D1" s="26"/>
      <c r="E1" s="26"/>
      <c r="F1" s="26"/>
      <c r="G1" s="26"/>
      <c r="H1" s="27"/>
    </row>
    <row r="2" spans="1:11" x14ac:dyDescent="0.35">
      <c r="A2" s="29"/>
      <c r="B2" s="16">
        <v>2016</v>
      </c>
      <c r="C2" s="17">
        <v>2017</v>
      </c>
      <c r="D2" s="17">
        <v>2018</v>
      </c>
      <c r="E2" s="17">
        <v>2019</v>
      </c>
      <c r="F2" s="17">
        <v>2020</v>
      </c>
      <c r="G2" s="17">
        <v>2021</v>
      </c>
      <c r="H2" s="17">
        <v>2022</v>
      </c>
      <c r="I2" s="1"/>
    </row>
    <row r="3" spans="1:11" x14ac:dyDescent="0.35">
      <c r="A3" s="6" t="s">
        <v>0</v>
      </c>
      <c r="B3" s="13">
        <f t="shared" ref="B3:H3" si="0">B4+B8+B13</f>
        <v>0</v>
      </c>
      <c r="C3" s="13">
        <f t="shared" si="0"/>
        <v>0</v>
      </c>
      <c r="D3" s="13">
        <f t="shared" si="0"/>
        <v>0</v>
      </c>
      <c r="E3" s="13">
        <f t="shared" si="0"/>
        <v>0</v>
      </c>
      <c r="F3" s="13">
        <f t="shared" si="0"/>
        <v>0</v>
      </c>
      <c r="G3" s="13">
        <f t="shared" si="0"/>
        <v>0</v>
      </c>
      <c r="H3" s="13">
        <f t="shared" si="0"/>
        <v>0</v>
      </c>
      <c r="K3" s="14" t="s">
        <v>25</v>
      </c>
    </row>
    <row r="4" spans="1:11" x14ac:dyDescent="0.35">
      <c r="A4" s="8" t="s">
        <v>4</v>
      </c>
      <c r="B4" s="13">
        <f>SUM(B5:B7)</f>
        <v>0</v>
      </c>
      <c r="C4" s="13">
        <f t="shared" ref="C4:H4" si="1">SUM(C5:C7)</f>
        <v>0</v>
      </c>
      <c r="D4" s="13">
        <f t="shared" si="1"/>
        <v>0</v>
      </c>
      <c r="E4" s="13">
        <f t="shared" si="1"/>
        <v>0</v>
      </c>
      <c r="F4" s="13">
        <f t="shared" si="1"/>
        <v>0</v>
      </c>
      <c r="G4" s="13">
        <f t="shared" si="1"/>
        <v>0</v>
      </c>
      <c r="H4" s="13">
        <f t="shared" si="1"/>
        <v>0</v>
      </c>
    </row>
    <row r="5" spans="1:11" x14ac:dyDescent="0.35">
      <c r="A5" s="2" t="s">
        <v>1</v>
      </c>
      <c r="B5" s="2"/>
      <c r="C5" s="2"/>
      <c r="D5" s="2"/>
      <c r="E5" s="2"/>
      <c r="F5" s="2"/>
      <c r="G5" s="2"/>
      <c r="H5" s="2"/>
    </row>
    <row r="6" spans="1:11" x14ac:dyDescent="0.35">
      <c r="A6" s="2" t="s">
        <v>2</v>
      </c>
      <c r="B6" s="2"/>
      <c r="C6" s="2"/>
      <c r="D6" s="2"/>
      <c r="E6" s="2"/>
      <c r="F6" s="2"/>
      <c r="G6" s="2"/>
      <c r="H6" s="2"/>
      <c r="K6" s="15" t="s">
        <v>26</v>
      </c>
    </row>
    <row r="7" spans="1:11" x14ac:dyDescent="0.35">
      <c r="A7" s="2" t="s">
        <v>3</v>
      </c>
      <c r="B7" s="2"/>
      <c r="C7" s="2"/>
      <c r="D7" s="2"/>
      <c r="E7" s="2"/>
      <c r="F7" s="2"/>
      <c r="G7" s="2"/>
      <c r="H7" s="2"/>
    </row>
    <row r="8" spans="1:11" x14ac:dyDescent="0.35">
      <c r="A8" s="8" t="s">
        <v>5</v>
      </c>
      <c r="B8" s="13">
        <f>SUM(B9:B12)</f>
        <v>0</v>
      </c>
      <c r="C8" s="13">
        <f t="shared" ref="C8:H8" si="2">SUM(C9:C12)</f>
        <v>0</v>
      </c>
      <c r="D8" s="13">
        <f t="shared" si="2"/>
        <v>0</v>
      </c>
      <c r="E8" s="13">
        <f t="shared" si="2"/>
        <v>0</v>
      </c>
      <c r="F8" s="13">
        <f t="shared" si="2"/>
        <v>0</v>
      </c>
      <c r="G8" s="13">
        <f t="shared" si="2"/>
        <v>0</v>
      </c>
      <c r="H8" s="13">
        <f t="shared" si="2"/>
        <v>0</v>
      </c>
    </row>
    <row r="9" spans="1:11" x14ac:dyDescent="0.35">
      <c r="A9" s="2" t="s">
        <v>6</v>
      </c>
      <c r="B9" s="2"/>
      <c r="C9" s="2"/>
      <c r="D9" s="2"/>
      <c r="E9" s="2"/>
      <c r="F9" s="2"/>
      <c r="G9" s="2"/>
      <c r="H9" s="2"/>
    </row>
    <row r="10" spans="1:11" x14ac:dyDescent="0.35">
      <c r="A10" s="2" t="s">
        <v>7</v>
      </c>
      <c r="B10" s="2"/>
      <c r="C10" s="2"/>
      <c r="D10" s="2"/>
      <c r="E10" s="2"/>
      <c r="F10" s="2"/>
      <c r="G10" s="2"/>
      <c r="H10" s="2"/>
    </row>
    <row r="11" spans="1:11" x14ac:dyDescent="0.35">
      <c r="A11" s="2" t="s">
        <v>8</v>
      </c>
      <c r="B11" s="2"/>
      <c r="C11" s="2"/>
      <c r="D11" s="2"/>
      <c r="E11" s="2"/>
      <c r="F11" s="2"/>
      <c r="G11" s="2"/>
      <c r="H11" s="2"/>
    </row>
    <row r="12" spans="1:11" x14ac:dyDescent="0.35">
      <c r="A12" s="2" t="s">
        <v>9</v>
      </c>
      <c r="B12" s="2"/>
      <c r="C12" s="2"/>
      <c r="D12" s="2"/>
      <c r="E12" s="2"/>
      <c r="F12" s="2"/>
      <c r="G12" s="2"/>
      <c r="H12" s="2"/>
    </row>
    <row r="13" spans="1:11" ht="15" thickBot="1" x14ac:dyDescent="0.4">
      <c r="A13" s="9" t="s">
        <v>10</v>
      </c>
      <c r="B13" s="4"/>
      <c r="C13" s="4"/>
      <c r="D13" s="4"/>
      <c r="E13" s="4"/>
      <c r="F13" s="4"/>
      <c r="G13" s="4"/>
      <c r="H13" s="4"/>
    </row>
    <row r="14" spans="1:11" ht="15" thickTop="1" x14ac:dyDescent="0.35">
      <c r="A14" s="7" t="s">
        <v>55</v>
      </c>
      <c r="B14" s="12">
        <f t="shared" ref="B14:H14" si="3">B15+B22+B27</f>
        <v>0</v>
      </c>
      <c r="C14" s="12">
        <f t="shared" si="3"/>
        <v>0</v>
      </c>
      <c r="D14" s="12">
        <f t="shared" si="3"/>
        <v>0</v>
      </c>
      <c r="E14" s="12">
        <f t="shared" si="3"/>
        <v>0</v>
      </c>
      <c r="F14" s="12">
        <f t="shared" si="3"/>
        <v>0</v>
      </c>
      <c r="G14" s="12">
        <f t="shared" si="3"/>
        <v>0</v>
      </c>
      <c r="H14" s="12">
        <f t="shared" si="3"/>
        <v>0</v>
      </c>
    </row>
    <row r="15" spans="1:11" x14ac:dyDescent="0.35">
      <c r="A15" s="8" t="s">
        <v>13</v>
      </c>
      <c r="B15" s="13">
        <f t="shared" ref="B15:H15" si="4">SUM(B16:B21)</f>
        <v>0</v>
      </c>
      <c r="C15" s="13">
        <f t="shared" si="4"/>
        <v>0</v>
      </c>
      <c r="D15" s="13">
        <f t="shared" si="4"/>
        <v>0</v>
      </c>
      <c r="E15" s="13">
        <f t="shared" si="4"/>
        <v>0</v>
      </c>
      <c r="F15" s="13">
        <f t="shared" si="4"/>
        <v>0</v>
      </c>
      <c r="G15" s="13">
        <f t="shared" si="4"/>
        <v>0</v>
      </c>
      <c r="H15" s="13">
        <f t="shared" si="4"/>
        <v>0</v>
      </c>
    </row>
    <row r="16" spans="1:11" x14ac:dyDescent="0.35">
      <c r="A16" s="2" t="s">
        <v>12</v>
      </c>
      <c r="B16" s="2"/>
      <c r="C16" s="2"/>
      <c r="D16" s="2"/>
      <c r="E16" s="2"/>
      <c r="F16" s="2"/>
      <c r="G16" s="2"/>
      <c r="H16" s="2"/>
    </row>
    <row r="17" spans="1:8" x14ac:dyDescent="0.35">
      <c r="A17" s="2" t="s">
        <v>14</v>
      </c>
      <c r="B17" s="2"/>
      <c r="C17" s="2"/>
      <c r="D17" s="2"/>
      <c r="E17" s="2"/>
      <c r="F17" s="2"/>
      <c r="G17" s="2"/>
      <c r="H17" s="2"/>
    </row>
    <row r="18" spans="1:8" x14ac:dyDescent="0.35">
      <c r="A18" s="2" t="s">
        <v>15</v>
      </c>
      <c r="B18" s="2"/>
      <c r="C18" s="2"/>
      <c r="D18" s="2"/>
      <c r="E18" s="2"/>
      <c r="F18" s="2"/>
      <c r="G18" s="2"/>
      <c r="H18" s="2"/>
    </row>
    <row r="19" spans="1:8" x14ac:dyDescent="0.35">
      <c r="A19" s="2" t="s">
        <v>16</v>
      </c>
      <c r="B19" s="2"/>
      <c r="C19" s="2"/>
      <c r="D19" s="2"/>
      <c r="E19" s="2"/>
      <c r="F19" s="2"/>
      <c r="G19" s="2"/>
      <c r="H19" s="2"/>
    </row>
    <row r="20" spans="1:8" x14ac:dyDescent="0.35">
      <c r="A20" s="2" t="s">
        <v>17</v>
      </c>
      <c r="B20" s="2"/>
      <c r="C20" s="2"/>
      <c r="D20" s="2"/>
      <c r="E20" s="2"/>
      <c r="F20" s="2"/>
      <c r="G20" s="2"/>
      <c r="H20" s="2"/>
    </row>
    <row r="21" spans="1:8" x14ac:dyDescent="0.35">
      <c r="A21" s="2" t="s">
        <v>22</v>
      </c>
      <c r="B21" s="2"/>
      <c r="C21" s="2"/>
      <c r="D21" s="2"/>
      <c r="E21" s="2"/>
      <c r="F21" s="2"/>
      <c r="G21" s="2"/>
      <c r="H21" s="2"/>
    </row>
    <row r="22" spans="1:8" x14ac:dyDescent="0.35">
      <c r="A22" s="8" t="s">
        <v>18</v>
      </c>
      <c r="B22" s="13">
        <f t="shared" ref="B22:H22" si="5">B23+B24</f>
        <v>0</v>
      </c>
      <c r="C22" s="13">
        <f t="shared" si="5"/>
        <v>0</v>
      </c>
      <c r="D22" s="13">
        <f t="shared" si="5"/>
        <v>0</v>
      </c>
      <c r="E22" s="13">
        <f t="shared" si="5"/>
        <v>0</v>
      </c>
      <c r="F22" s="13">
        <f t="shared" si="5"/>
        <v>0</v>
      </c>
      <c r="G22" s="13">
        <f t="shared" si="5"/>
        <v>0</v>
      </c>
      <c r="H22" s="13">
        <f t="shared" si="5"/>
        <v>0</v>
      </c>
    </row>
    <row r="23" spans="1:8" x14ac:dyDescent="0.35">
      <c r="A23" s="11" t="s">
        <v>24</v>
      </c>
      <c r="B23" s="2"/>
      <c r="C23" s="2"/>
      <c r="D23" s="2"/>
      <c r="E23" s="2"/>
      <c r="F23" s="2"/>
      <c r="G23" s="2"/>
      <c r="H23" s="2"/>
    </row>
    <row r="24" spans="1:8" x14ac:dyDescent="0.35">
      <c r="A24" s="10" t="s">
        <v>19</v>
      </c>
      <c r="B24" s="13">
        <f>SUM(B25:B26)</f>
        <v>0</v>
      </c>
      <c r="C24" s="13">
        <f t="shared" ref="C24:H24" si="6">SUM(C25:C26)</f>
        <v>0</v>
      </c>
      <c r="D24" s="13">
        <f t="shared" si="6"/>
        <v>0</v>
      </c>
      <c r="E24" s="13">
        <f t="shared" si="6"/>
        <v>0</v>
      </c>
      <c r="F24" s="13">
        <f t="shared" si="6"/>
        <v>0</v>
      </c>
      <c r="G24" s="13">
        <f t="shared" si="6"/>
        <v>0</v>
      </c>
      <c r="H24" s="13">
        <f t="shared" si="6"/>
        <v>0</v>
      </c>
    </row>
    <row r="25" spans="1:8" x14ac:dyDescent="0.35">
      <c r="A25" s="2" t="s">
        <v>20</v>
      </c>
      <c r="B25" s="2"/>
      <c r="C25" s="2"/>
      <c r="D25" s="2"/>
      <c r="E25" s="2"/>
      <c r="F25" s="2"/>
      <c r="G25" s="2"/>
      <c r="H25" s="2"/>
    </row>
    <row r="26" spans="1:8" x14ac:dyDescent="0.35">
      <c r="A26" s="2" t="s">
        <v>23</v>
      </c>
      <c r="B26" s="2"/>
      <c r="C26" s="2"/>
      <c r="D26" s="2"/>
      <c r="E26" s="2"/>
      <c r="F26" s="2"/>
      <c r="G26" s="2"/>
      <c r="H26" s="2"/>
    </row>
    <row r="27" spans="1:8" x14ac:dyDescent="0.35">
      <c r="A27" s="8" t="s">
        <v>21</v>
      </c>
      <c r="B27" s="2"/>
      <c r="C27" s="2"/>
      <c r="D27" s="2"/>
      <c r="E27" s="2"/>
      <c r="F27" s="2"/>
      <c r="G27" s="2"/>
      <c r="H27" s="2"/>
    </row>
  </sheetData>
  <mergeCells count="2">
    <mergeCell ref="B1:H1"/>
    <mergeCell ref="A1:A2"/>
  </mergeCells>
  <conditionalFormatting sqref="B3">
    <cfRule type="cellIs" dxfId="1" priority="1" operator="notEqual">
      <formula>$B$14</formula>
    </cfRule>
  </conditionalFormatting>
  <conditionalFormatting sqref="B14">
    <cfRule type="cellIs" dxfId="0" priority="2" operator="notEqual">
      <formula>$B$3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63B98-1AEB-4B3A-A2D6-14D507C3448F}">
  <sheetPr codeName="List3"/>
  <dimension ref="A1:J27"/>
  <sheetViews>
    <sheetView showGridLines="0" workbookViewId="0">
      <selection activeCell="B3" sqref="B3:H4"/>
    </sheetView>
  </sheetViews>
  <sheetFormatPr defaultRowHeight="14.5" x14ac:dyDescent="0.35"/>
  <cols>
    <col min="1" max="1" width="41.26953125" bestFit="1" customWidth="1"/>
    <col min="10" max="10" width="25.7265625" bestFit="1" customWidth="1"/>
  </cols>
  <sheetData>
    <row r="1" spans="1:10" x14ac:dyDescent="0.35">
      <c r="A1" s="28" t="s">
        <v>27</v>
      </c>
      <c r="B1" s="25" t="s">
        <v>53</v>
      </c>
      <c r="C1" s="26"/>
      <c r="D1" s="26"/>
      <c r="E1" s="26"/>
      <c r="F1" s="26"/>
      <c r="G1" s="26"/>
      <c r="H1" s="27"/>
    </row>
    <row r="2" spans="1:10" x14ac:dyDescent="0.35">
      <c r="A2" s="29"/>
      <c r="B2" s="16">
        <f>'Rozvaha_vstupní data'!B2</f>
        <v>2016</v>
      </c>
      <c r="C2" s="16">
        <f>'Rozvaha_vstupní data'!C2</f>
        <v>2017</v>
      </c>
      <c r="D2" s="16">
        <f>'Rozvaha_vstupní data'!D2</f>
        <v>2018</v>
      </c>
      <c r="E2" s="16">
        <f>'Rozvaha_vstupní data'!E2</f>
        <v>2019</v>
      </c>
      <c r="F2" s="16">
        <f>'Rozvaha_vstupní data'!F2</f>
        <v>2020</v>
      </c>
      <c r="G2" s="16">
        <f>'Rozvaha_vstupní data'!G2</f>
        <v>2021</v>
      </c>
      <c r="H2" s="16">
        <f>'Rozvaha_vstupní data'!H2</f>
        <v>2022</v>
      </c>
    </row>
    <row r="3" spans="1:10" x14ac:dyDescent="0.35">
      <c r="A3" s="2" t="s">
        <v>28</v>
      </c>
      <c r="B3" s="2"/>
      <c r="C3" s="2"/>
      <c r="D3" s="2"/>
      <c r="E3" s="2"/>
      <c r="F3" s="2"/>
      <c r="G3" s="2"/>
      <c r="H3" s="2"/>
      <c r="J3" s="14" t="s">
        <v>25</v>
      </c>
    </row>
    <row r="4" spans="1:10" x14ac:dyDescent="0.35">
      <c r="A4" s="2" t="s">
        <v>29</v>
      </c>
      <c r="B4" s="2"/>
      <c r="C4" s="2"/>
      <c r="D4" s="2"/>
      <c r="E4" s="2"/>
      <c r="F4" s="2"/>
      <c r="G4" s="2"/>
      <c r="H4" s="2"/>
    </row>
    <row r="5" spans="1:10" x14ac:dyDescent="0.35">
      <c r="A5" s="2" t="s">
        <v>30</v>
      </c>
      <c r="B5" s="2"/>
      <c r="C5" s="2"/>
      <c r="D5" s="2"/>
      <c r="E5" s="2"/>
      <c r="F5" s="2"/>
      <c r="G5" s="2"/>
      <c r="H5" s="2"/>
    </row>
    <row r="6" spans="1:10" x14ac:dyDescent="0.35">
      <c r="A6" s="2" t="s">
        <v>31</v>
      </c>
      <c r="B6" s="2"/>
      <c r="C6" s="2"/>
      <c r="D6" s="2"/>
      <c r="E6" s="2"/>
      <c r="F6" s="2"/>
      <c r="G6" s="2"/>
      <c r="H6" s="2"/>
    </row>
    <row r="7" spans="1:10" x14ac:dyDescent="0.35">
      <c r="A7" s="2" t="s">
        <v>32</v>
      </c>
      <c r="B7" s="2"/>
      <c r="C7" s="2"/>
      <c r="D7" s="2"/>
      <c r="E7" s="2"/>
      <c r="F7" s="2"/>
      <c r="G7" s="2"/>
      <c r="H7" s="2"/>
    </row>
    <row r="8" spans="1:10" x14ac:dyDescent="0.35">
      <c r="A8" s="2" t="s">
        <v>33</v>
      </c>
      <c r="B8" s="2"/>
      <c r="C8" s="2"/>
      <c r="D8" s="2"/>
      <c r="E8" s="2"/>
      <c r="F8" s="2"/>
      <c r="G8" s="2"/>
      <c r="H8" s="2"/>
    </row>
    <row r="9" spans="1:10" x14ac:dyDescent="0.35">
      <c r="A9" s="2" t="s">
        <v>34</v>
      </c>
      <c r="B9" s="2"/>
      <c r="C9" s="2"/>
      <c r="D9" s="2"/>
      <c r="E9" s="2"/>
      <c r="F9" s="2"/>
      <c r="G9" s="2"/>
      <c r="H9" s="2"/>
    </row>
    <row r="10" spans="1:10" x14ac:dyDescent="0.35">
      <c r="A10" s="2" t="s">
        <v>35</v>
      </c>
      <c r="B10" s="2"/>
      <c r="C10" s="2"/>
      <c r="D10" s="2"/>
      <c r="E10" s="2"/>
      <c r="F10" s="2"/>
      <c r="G10" s="2"/>
      <c r="H10" s="2"/>
    </row>
    <row r="11" spans="1:10" ht="15" thickBot="1" x14ac:dyDescent="0.4">
      <c r="A11" s="3" t="s">
        <v>36</v>
      </c>
      <c r="B11" s="3"/>
      <c r="C11" s="3"/>
      <c r="D11" s="3"/>
      <c r="E11" s="3"/>
      <c r="F11" s="3"/>
      <c r="G11" s="3"/>
      <c r="H11" s="3"/>
    </row>
    <row r="12" spans="1:10" ht="15" thickBot="1" x14ac:dyDescent="0.4">
      <c r="A12" s="18" t="s">
        <v>37</v>
      </c>
      <c r="B12" s="20">
        <f>B3+B4-B5-B6-B7-B8-B9+B10-B11</f>
        <v>0</v>
      </c>
      <c r="C12" s="20">
        <f t="shared" ref="C12:H12" si="0">C3+C4-C5-C6-C7-C8-C9+C10-C11</f>
        <v>0</v>
      </c>
      <c r="D12" s="20">
        <f t="shared" si="0"/>
        <v>0</v>
      </c>
      <c r="E12" s="20">
        <f t="shared" si="0"/>
        <v>0</v>
      </c>
      <c r="F12" s="20">
        <f t="shared" si="0"/>
        <v>0</v>
      </c>
      <c r="G12" s="20">
        <f t="shared" si="0"/>
        <v>0</v>
      </c>
      <c r="H12" s="20">
        <f t="shared" si="0"/>
        <v>0</v>
      </c>
    </row>
    <row r="13" spans="1:10" x14ac:dyDescent="0.35">
      <c r="A13" s="5" t="s">
        <v>38</v>
      </c>
      <c r="B13" s="5"/>
      <c r="C13" s="5"/>
      <c r="D13" s="5"/>
      <c r="E13" s="5"/>
      <c r="F13" s="5"/>
      <c r="G13" s="5"/>
      <c r="H13" s="5"/>
    </row>
    <row r="14" spans="1:10" x14ac:dyDescent="0.35">
      <c r="A14" s="5" t="s">
        <v>48</v>
      </c>
      <c r="B14" s="5"/>
      <c r="C14" s="5"/>
      <c r="D14" s="5"/>
      <c r="E14" s="5"/>
      <c r="F14" s="5"/>
      <c r="G14" s="5"/>
      <c r="H14" s="5"/>
    </row>
    <row r="15" spans="1:10" x14ac:dyDescent="0.35">
      <c r="A15" s="2" t="s">
        <v>39</v>
      </c>
      <c r="B15" s="2"/>
      <c r="C15" s="2"/>
      <c r="D15" s="2"/>
      <c r="E15" s="2"/>
      <c r="F15" s="2"/>
      <c r="G15" s="2"/>
      <c r="H15" s="2"/>
    </row>
    <row r="16" spans="1:10" x14ac:dyDescent="0.35">
      <c r="A16" s="2" t="s">
        <v>49</v>
      </c>
      <c r="B16" s="2"/>
      <c r="C16" s="2"/>
      <c r="D16" s="2"/>
      <c r="E16" s="2"/>
      <c r="F16" s="2"/>
      <c r="G16" s="2"/>
      <c r="H16" s="2"/>
    </row>
    <row r="17" spans="1:8" x14ac:dyDescent="0.35">
      <c r="A17" s="2" t="s">
        <v>40</v>
      </c>
      <c r="B17" s="2"/>
      <c r="C17" s="2"/>
      <c r="D17" s="2"/>
      <c r="E17" s="2"/>
      <c r="F17" s="2"/>
      <c r="G17" s="2"/>
      <c r="H17" s="2"/>
    </row>
    <row r="18" spans="1:8" x14ac:dyDescent="0.35">
      <c r="A18" s="3" t="s">
        <v>50</v>
      </c>
      <c r="B18" s="3"/>
      <c r="C18" s="3"/>
      <c r="D18" s="3"/>
      <c r="E18" s="3"/>
      <c r="F18" s="3"/>
      <c r="G18" s="3"/>
      <c r="H18" s="3"/>
    </row>
    <row r="19" spans="1:8" x14ac:dyDescent="0.35">
      <c r="A19" s="3" t="s">
        <v>41</v>
      </c>
      <c r="B19" s="3"/>
      <c r="C19" s="3"/>
      <c r="D19" s="3"/>
      <c r="E19" s="3"/>
      <c r="F19" s="3"/>
      <c r="G19" s="3"/>
      <c r="H19" s="3"/>
    </row>
    <row r="20" spans="1:8" x14ac:dyDescent="0.35">
      <c r="A20" s="3" t="s">
        <v>51</v>
      </c>
      <c r="B20" s="3"/>
      <c r="C20" s="3"/>
      <c r="D20" s="3"/>
      <c r="E20" s="3"/>
      <c r="F20" s="3"/>
      <c r="G20" s="3"/>
      <c r="H20" s="3"/>
    </row>
    <row r="21" spans="1:8" ht="15" thickBot="1" x14ac:dyDescent="0.4">
      <c r="A21" s="3" t="s">
        <v>52</v>
      </c>
      <c r="B21" s="3"/>
      <c r="C21" s="3"/>
      <c r="D21" s="3"/>
      <c r="E21" s="3"/>
      <c r="F21" s="3"/>
      <c r="G21" s="3"/>
      <c r="H21" s="3"/>
    </row>
    <row r="22" spans="1:8" ht="15" thickBot="1" x14ac:dyDescent="0.4">
      <c r="A22" s="18" t="s">
        <v>42</v>
      </c>
      <c r="B22" s="20">
        <f>B13-B14+B15-B16+B17-B18-B19+B20-B21</f>
        <v>0</v>
      </c>
      <c r="C22" s="20">
        <f t="shared" ref="C22:H22" si="1">C13-C14+C15-C16+C17-C18-C19+C20-C21</f>
        <v>0</v>
      </c>
      <c r="D22" s="20">
        <f t="shared" si="1"/>
        <v>0</v>
      </c>
      <c r="E22" s="20">
        <f t="shared" si="1"/>
        <v>0</v>
      </c>
      <c r="F22" s="20">
        <f t="shared" si="1"/>
        <v>0</v>
      </c>
      <c r="G22" s="20">
        <v>30</v>
      </c>
      <c r="H22" s="20">
        <f t="shared" si="1"/>
        <v>0</v>
      </c>
    </row>
    <row r="23" spans="1:8" ht="15" thickBot="1" x14ac:dyDescent="0.4">
      <c r="A23" s="18" t="s">
        <v>43</v>
      </c>
      <c r="B23" s="20">
        <f>B22+B12</f>
        <v>0</v>
      </c>
      <c r="C23" s="20">
        <f t="shared" ref="C23:H23" si="2">C22+C12</f>
        <v>0</v>
      </c>
      <c r="D23" s="20">
        <f t="shared" si="2"/>
        <v>0</v>
      </c>
      <c r="E23" s="20">
        <f t="shared" si="2"/>
        <v>0</v>
      </c>
      <c r="F23" s="20">
        <f t="shared" si="2"/>
        <v>0</v>
      </c>
      <c r="G23" s="20">
        <f t="shared" si="2"/>
        <v>30</v>
      </c>
      <c r="H23" s="20">
        <f t="shared" si="2"/>
        <v>0</v>
      </c>
    </row>
    <row r="24" spans="1:8" ht="15" thickBot="1" x14ac:dyDescent="0.4">
      <c r="A24" s="19" t="s">
        <v>44</v>
      </c>
      <c r="B24" s="19"/>
      <c r="C24" s="19"/>
      <c r="D24" s="19"/>
      <c r="E24" s="19"/>
      <c r="F24" s="19"/>
      <c r="G24" s="19"/>
      <c r="H24" s="19"/>
    </row>
    <row r="25" spans="1:8" ht="15" thickBot="1" x14ac:dyDescent="0.4">
      <c r="A25" s="18" t="s">
        <v>45</v>
      </c>
      <c r="B25" s="20">
        <f>B23-B24</f>
        <v>0</v>
      </c>
      <c r="C25" s="20">
        <f t="shared" ref="C25:H25" si="3">C23-C24</f>
        <v>0</v>
      </c>
      <c r="D25" s="20">
        <f t="shared" si="3"/>
        <v>0</v>
      </c>
      <c r="E25" s="20">
        <f t="shared" si="3"/>
        <v>0</v>
      </c>
      <c r="F25" s="20">
        <f t="shared" si="3"/>
        <v>0</v>
      </c>
      <c r="G25" s="20">
        <f t="shared" si="3"/>
        <v>30</v>
      </c>
      <c r="H25" s="20">
        <f t="shared" si="3"/>
        <v>0</v>
      </c>
    </row>
    <row r="26" spans="1:8" ht="15" thickBot="1" x14ac:dyDescent="0.4">
      <c r="A26" s="18" t="s">
        <v>46</v>
      </c>
      <c r="B26" s="20">
        <f>B25</f>
        <v>0</v>
      </c>
      <c r="C26" s="20">
        <f t="shared" ref="C26:H26" si="4">C25</f>
        <v>0</v>
      </c>
      <c r="D26" s="20">
        <f t="shared" si="4"/>
        <v>0</v>
      </c>
      <c r="E26" s="20">
        <f t="shared" si="4"/>
        <v>0</v>
      </c>
      <c r="F26" s="20">
        <f t="shared" si="4"/>
        <v>0</v>
      </c>
      <c r="G26" s="20">
        <f t="shared" si="4"/>
        <v>30</v>
      </c>
      <c r="H26" s="20">
        <f t="shared" si="4"/>
        <v>0</v>
      </c>
    </row>
    <row r="27" spans="1:8" ht="15" thickBot="1" x14ac:dyDescent="0.4">
      <c r="A27" s="18" t="s">
        <v>47</v>
      </c>
      <c r="B27" s="20">
        <f>B3+B4+B10+B13+B15+B17+B20</f>
        <v>0</v>
      </c>
      <c r="C27" s="20">
        <f t="shared" ref="C27:H27" si="5">C3+C4+C10+C13+C15+C17+C20</f>
        <v>0</v>
      </c>
      <c r="D27" s="20">
        <f t="shared" si="5"/>
        <v>0</v>
      </c>
      <c r="E27" s="20">
        <f t="shared" si="5"/>
        <v>0</v>
      </c>
      <c r="F27" s="20">
        <f t="shared" si="5"/>
        <v>0</v>
      </c>
      <c r="G27" s="20">
        <f t="shared" si="5"/>
        <v>0</v>
      </c>
      <c r="H27" s="20">
        <f t="shared" si="5"/>
        <v>0</v>
      </c>
    </row>
  </sheetData>
  <mergeCells count="2">
    <mergeCell ref="A1:A2"/>
    <mergeCell ref="B1:H1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12B5B-34E3-4D8A-9262-C9A3CD6E1880}">
  <sheetPr codeName="List4"/>
  <dimension ref="A1"/>
  <sheetViews>
    <sheetView showGridLines="0" workbookViewId="0">
      <selection activeCell="S19" sqref="S19"/>
    </sheetView>
  </sheetViews>
  <sheetFormatPr defaultRowHeight="14.5" x14ac:dyDescent="0.35"/>
  <sheetData/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7F04F-90E4-42CE-9B1A-7301828B8DF8}">
  <sheetPr codeName="List5"/>
  <dimension ref="B1:I2"/>
  <sheetViews>
    <sheetView showGridLines="0" workbookViewId="0">
      <selection activeCell="C1" sqref="C1"/>
    </sheetView>
  </sheetViews>
  <sheetFormatPr defaultRowHeight="14.5" x14ac:dyDescent="0.35"/>
  <cols>
    <col min="2" max="2" width="12.54296875" bestFit="1" customWidth="1"/>
  </cols>
  <sheetData>
    <row r="1" spans="2:9" x14ac:dyDescent="0.35">
      <c r="C1" s="21">
        <f>'VZZ_vstupní data'!B2</f>
        <v>2016</v>
      </c>
      <c r="D1" s="21">
        <f>'VZZ_vstupní data'!C2</f>
        <v>2017</v>
      </c>
      <c r="E1" s="21">
        <f>'VZZ_vstupní data'!D2</f>
        <v>2018</v>
      </c>
      <c r="F1" s="21">
        <f>'VZZ_vstupní data'!E2</f>
        <v>2019</v>
      </c>
      <c r="G1" s="21">
        <f>'VZZ_vstupní data'!F2</f>
        <v>2020</v>
      </c>
      <c r="H1" s="21">
        <f>'VZZ_vstupní data'!G2</f>
        <v>2021</v>
      </c>
      <c r="I1" s="21">
        <f>'VZZ_vstupní data'!H2</f>
        <v>2022</v>
      </c>
    </row>
    <row r="2" spans="2:9" x14ac:dyDescent="0.35">
      <c r="B2" s="2" t="s">
        <v>54</v>
      </c>
      <c r="C2" s="2">
        <f>SUM('VZZ_vstupní data'!B3:B4)</f>
        <v>0</v>
      </c>
      <c r="D2" s="2">
        <f>SUM('VZZ_vstupní data'!C3:C4)</f>
        <v>0</v>
      </c>
      <c r="E2" s="2">
        <f>SUM('VZZ_vstupní data'!D3:D4)</f>
        <v>0</v>
      </c>
      <c r="F2" s="2">
        <f>SUM('VZZ_vstupní data'!E3:E4)</f>
        <v>0</v>
      </c>
      <c r="G2" s="2">
        <f>SUM('VZZ_vstupní data'!F3:F4)</f>
        <v>0</v>
      </c>
      <c r="H2" s="2">
        <f>SUM('VZZ_vstupní data'!G3:G4)</f>
        <v>0</v>
      </c>
      <c r="I2" s="2">
        <f>SUM('VZZ_vstupní data'!H3:H4)</f>
        <v>0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B56FA-CF91-46E9-B71E-00C770E7F761}">
  <sheetPr codeName="List6"/>
  <dimension ref="A1"/>
  <sheetViews>
    <sheetView showGridLines="0" workbookViewId="0">
      <selection activeCell="G1" sqref="G1"/>
    </sheetView>
  </sheetViews>
  <sheetFormatPr defaultRowHeight="14.5" x14ac:dyDescent="0.35"/>
  <sheetData/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8B8FD-B139-44F2-A30C-448DDA2FE2E8}">
  <dimension ref="A1"/>
  <sheetViews>
    <sheetView showGridLines="0" topLeftCell="B1" workbookViewId="0">
      <selection activeCell="F3" sqref="F3"/>
    </sheetView>
  </sheetViews>
  <sheetFormatPr defaultRowHeight="14.5" x14ac:dyDescent="0.35"/>
  <sheetData/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BF125-553D-4718-9FA7-2BCF58E9DFE1}">
  <dimension ref="D1:P5"/>
  <sheetViews>
    <sheetView showGridLines="0" topLeftCell="C4" workbookViewId="0">
      <selection activeCell="F3" sqref="F3"/>
    </sheetView>
  </sheetViews>
  <sheetFormatPr defaultRowHeight="14.5" x14ac:dyDescent="0.35"/>
  <cols>
    <col min="5" max="5" width="30" bestFit="1" customWidth="1"/>
    <col min="6" max="6" width="12.26953125" bestFit="1" customWidth="1"/>
    <col min="7" max="7" width="8.81640625" bestFit="1" customWidth="1"/>
    <col min="8" max="12" width="15.54296875" bestFit="1" customWidth="1"/>
    <col min="13" max="13" width="15.6328125" bestFit="1" customWidth="1"/>
  </cols>
  <sheetData>
    <row r="1" spans="4:16" x14ac:dyDescent="0.35">
      <c r="O1" s="22" t="s">
        <v>59</v>
      </c>
      <c r="P1" s="22">
        <v>0.19</v>
      </c>
    </row>
    <row r="2" spans="4:16" x14ac:dyDescent="0.35">
      <c r="D2" s="2" t="s">
        <v>62</v>
      </c>
      <c r="E2" s="2" t="s">
        <v>56</v>
      </c>
      <c r="F2" s="2" t="s">
        <v>57</v>
      </c>
      <c r="G2" s="16">
        <f>'Rozvaha_vstupní data'!B2</f>
        <v>2016</v>
      </c>
      <c r="H2" s="16">
        <f>'Rozvaha_vstupní data'!C2</f>
        <v>2017</v>
      </c>
      <c r="I2" s="16">
        <f>'Rozvaha_vstupní data'!D2</f>
        <v>2018</v>
      </c>
      <c r="J2" s="16">
        <f>'Rozvaha_vstupní data'!E2</f>
        <v>2019</v>
      </c>
      <c r="K2" s="16">
        <f>'Rozvaha_vstupní data'!F2</f>
        <v>2020</v>
      </c>
      <c r="L2" s="16">
        <f>'Rozvaha_vstupní data'!G2</f>
        <v>2021</v>
      </c>
      <c r="M2" s="16">
        <f>'Rozvaha_vstupní data'!H2</f>
        <v>2022</v>
      </c>
    </row>
    <row r="3" spans="4:16" x14ac:dyDescent="0.35">
      <c r="D3" s="2" t="s">
        <v>63</v>
      </c>
      <c r="E3" s="2" t="s">
        <v>66</v>
      </c>
      <c r="F3" s="2" t="s">
        <v>58</v>
      </c>
      <c r="G3" s="23" t="e">
        <f>'VZZ_vstupní data'!B23*(1-'Analýza Rentability'!$P$1)/'Rozvaha_vstupní data'!B3</f>
        <v>#DIV/0!</v>
      </c>
      <c r="H3" s="23" t="e">
        <f>'VZZ_vstupní data'!C23*(1-'Analýza Rentability'!$P$1)/'Rozvaha_vstupní data'!C3</f>
        <v>#DIV/0!</v>
      </c>
      <c r="I3" s="23" t="e">
        <f>'VZZ_vstupní data'!D23*(1-'Analýza Rentability'!$P$1)/'Rozvaha_vstupní data'!D3</f>
        <v>#DIV/0!</v>
      </c>
      <c r="J3" s="23" t="e">
        <f>'VZZ_vstupní data'!E23*(1-'Analýza Rentability'!$P$1)/'Rozvaha_vstupní data'!E3</f>
        <v>#DIV/0!</v>
      </c>
      <c r="K3" s="23" t="e">
        <f>'VZZ_vstupní data'!F23*(1-'Analýza Rentability'!$P$1)/'Rozvaha_vstupní data'!F3</f>
        <v>#DIV/0!</v>
      </c>
      <c r="L3" s="23" t="e">
        <f>'VZZ_vstupní data'!G23*(1-'Analýza Rentability'!$P$1)/'Rozvaha_vstupní data'!G3</f>
        <v>#DIV/0!</v>
      </c>
      <c r="M3" s="23" t="e">
        <f>'VZZ_vstupní data'!H23*(1-'Analýza Rentability'!$P$1)/'Rozvaha_vstupní data'!H3</f>
        <v>#DIV/0!</v>
      </c>
    </row>
    <row r="4" spans="4:16" x14ac:dyDescent="0.35">
      <c r="D4" s="2" t="s">
        <v>64</v>
      </c>
      <c r="E4" s="2" t="s">
        <v>67</v>
      </c>
      <c r="F4" s="2" t="s">
        <v>60</v>
      </c>
      <c r="G4" s="23" t="e">
        <f>'VZZ_vstupní data'!B25/'Rozvaha_vstupní data'!B15</f>
        <v>#DIV/0!</v>
      </c>
      <c r="H4" s="23" t="e">
        <f>'VZZ_vstupní data'!C25/'Rozvaha_vstupní data'!C15</f>
        <v>#DIV/0!</v>
      </c>
      <c r="I4" s="23" t="e">
        <f>'VZZ_vstupní data'!D25/'Rozvaha_vstupní data'!D15</f>
        <v>#DIV/0!</v>
      </c>
      <c r="J4" s="23" t="e">
        <f>'VZZ_vstupní data'!E25/'Rozvaha_vstupní data'!E15</f>
        <v>#DIV/0!</v>
      </c>
      <c r="K4" s="23" t="e">
        <f>'VZZ_vstupní data'!F25/'Rozvaha_vstupní data'!F15</f>
        <v>#DIV/0!</v>
      </c>
      <c r="L4" s="23" t="e">
        <f>'VZZ_vstupní data'!G25/'Rozvaha_vstupní data'!G15</f>
        <v>#DIV/0!</v>
      </c>
      <c r="M4" s="23" t="e">
        <f>'VZZ_vstupní data'!H25/'Rozvaha_vstupní data'!H15</f>
        <v>#DIV/0!</v>
      </c>
    </row>
    <row r="5" spans="4:16" x14ac:dyDescent="0.35">
      <c r="D5" s="2" t="s">
        <v>65</v>
      </c>
      <c r="E5" s="2" t="s">
        <v>68</v>
      </c>
      <c r="F5" s="2" t="s">
        <v>61</v>
      </c>
      <c r="G5" s="23" t="e">
        <f>'VZZ_vstupní data'!B25/'Vývoj tržeb'!C2</f>
        <v>#DIV/0!</v>
      </c>
      <c r="H5" s="23" t="e">
        <f>'VZZ_vstupní data'!C25/'Vývoj tržeb'!D2</f>
        <v>#DIV/0!</v>
      </c>
      <c r="I5" s="23" t="e">
        <f>'VZZ_vstupní data'!D25/'Vývoj tržeb'!E2</f>
        <v>#DIV/0!</v>
      </c>
      <c r="J5" s="23" t="e">
        <f>'VZZ_vstupní data'!E25/'Vývoj tržeb'!F2</f>
        <v>#DIV/0!</v>
      </c>
      <c r="K5" s="23" t="e">
        <f>'VZZ_vstupní data'!F25/'Vývoj tržeb'!G2</f>
        <v>#DIV/0!</v>
      </c>
      <c r="L5" s="23" t="e">
        <f>'VZZ_vstupní data'!G25/'Vývoj tržeb'!H2</f>
        <v>#DIV/0!</v>
      </c>
      <c r="M5" s="23" t="e">
        <f>'VZZ_vstupní data'!H25/'Vývoj tržeb'!I2</f>
        <v>#DIV/0!</v>
      </c>
    </row>
  </sheetData>
  <pageMargins left="0.7" right="0.7" top="0.78740157499999996" bottom="0.78740157499999996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3DF4-1C57-4DC9-93AF-A865062EE60A}">
  <dimension ref="D2:L5"/>
  <sheetViews>
    <sheetView showGridLines="0" workbookViewId="0">
      <selection activeCell="C11" sqref="C11"/>
    </sheetView>
  </sheetViews>
  <sheetFormatPr defaultRowHeight="14.5" x14ac:dyDescent="0.35"/>
  <cols>
    <col min="4" max="4" width="25.08984375" bestFit="1" customWidth="1"/>
    <col min="5" max="5" width="15.08984375" bestFit="1" customWidth="1"/>
    <col min="6" max="6" width="15.54296875" bestFit="1" customWidth="1"/>
  </cols>
  <sheetData>
    <row r="2" spans="4:12" x14ac:dyDescent="0.35">
      <c r="D2" s="2" t="s">
        <v>56</v>
      </c>
      <c r="E2" s="2" t="s">
        <v>57</v>
      </c>
      <c r="F2" s="16">
        <f>'Rozvaha_vstupní data'!B2</f>
        <v>2016</v>
      </c>
      <c r="G2" s="16">
        <f>'Rozvaha_vstupní data'!C2</f>
        <v>2017</v>
      </c>
      <c r="H2" s="16">
        <f>'Rozvaha_vstupní data'!D2</f>
        <v>2018</v>
      </c>
      <c r="I2" s="16">
        <f>'Rozvaha_vstupní data'!E2</f>
        <v>2019</v>
      </c>
      <c r="J2" s="16">
        <f>'Rozvaha_vstupní data'!F2</f>
        <v>2020</v>
      </c>
      <c r="K2" s="16">
        <f>'Rozvaha_vstupní data'!G2</f>
        <v>2021</v>
      </c>
      <c r="L2" s="16">
        <f>'Rozvaha_vstupní data'!H2</f>
        <v>2022</v>
      </c>
    </row>
    <row r="3" spans="4:12" x14ac:dyDescent="0.35">
      <c r="D3" s="2" t="s">
        <v>69</v>
      </c>
      <c r="E3" s="2" t="s">
        <v>70</v>
      </c>
      <c r="F3" s="2" t="e">
        <f>'Rozvaha_vstupní data'!B8/'Rozvaha_vstupní data'!B26</f>
        <v>#DIV/0!</v>
      </c>
      <c r="G3" s="2" t="e">
        <f>'Rozvaha_vstupní data'!C8/'Rozvaha_vstupní data'!C26</f>
        <v>#DIV/0!</v>
      </c>
      <c r="H3" s="2" t="e">
        <f>'Rozvaha_vstupní data'!D8/'Rozvaha_vstupní data'!D26</f>
        <v>#DIV/0!</v>
      </c>
      <c r="I3" s="2" t="e">
        <f>'Rozvaha_vstupní data'!E8/'Rozvaha_vstupní data'!E26</f>
        <v>#DIV/0!</v>
      </c>
      <c r="J3" s="2" t="e">
        <f>'Rozvaha_vstupní data'!F8/'Rozvaha_vstupní data'!F26</f>
        <v>#DIV/0!</v>
      </c>
      <c r="K3" s="2" t="e">
        <f>'Rozvaha_vstupní data'!G8/'Rozvaha_vstupní data'!G26</f>
        <v>#DIV/0!</v>
      </c>
      <c r="L3" s="2" t="e">
        <f>'Rozvaha_vstupní data'!H8/'Rozvaha_vstupní data'!H26</f>
        <v>#DIV/0!</v>
      </c>
    </row>
    <row r="4" spans="4:12" x14ac:dyDescent="0.35">
      <c r="D4" s="2" t="s">
        <v>71</v>
      </c>
      <c r="E4" s="2" t="s">
        <v>72</v>
      </c>
      <c r="F4" s="2" t="e">
        <f>('Rozvaha_vstupní data'!B8-'Rozvaha_vstupní data'!B9)/'Rozvaha_vstupní data'!B26</f>
        <v>#DIV/0!</v>
      </c>
      <c r="G4" s="2" t="e">
        <f>('Rozvaha_vstupní data'!C8-'Rozvaha_vstupní data'!C9)/'Rozvaha_vstupní data'!C26</f>
        <v>#DIV/0!</v>
      </c>
      <c r="H4" s="2" t="e">
        <f>('Rozvaha_vstupní data'!D8-'Rozvaha_vstupní data'!D9)/'Rozvaha_vstupní data'!D26</f>
        <v>#DIV/0!</v>
      </c>
      <c r="I4" s="2" t="e">
        <f>('Rozvaha_vstupní data'!E8-'Rozvaha_vstupní data'!E9)/'Rozvaha_vstupní data'!E26</f>
        <v>#DIV/0!</v>
      </c>
      <c r="J4" s="2" t="e">
        <f>('Rozvaha_vstupní data'!F8-'Rozvaha_vstupní data'!F9)/'Rozvaha_vstupní data'!F26</f>
        <v>#DIV/0!</v>
      </c>
      <c r="K4" s="2" t="e">
        <f>('Rozvaha_vstupní data'!G8-'Rozvaha_vstupní data'!G9)/'Rozvaha_vstupní data'!G26</f>
        <v>#DIV/0!</v>
      </c>
      <c r="L4" s="2" t="e">
        <f>('Rozvaha_vstupní data'!H8-'Rozvaha_vstupní data'!H9)/'Rozvaha_vstupní data'!H26</f>
        <v>#DIV/0!</v>
      </c>
    </row>
    <row r="5" spans="4:12" x14ac:dyDescent="0.35">
      <c r="D5" s="2" t="s">
        <v>73</v>
      </c>
      <c r="E5" s="2" t="s">
        <v>74</v>
      </c>
      <c r="F5" s="2" t="e">
        <f>SUM('Rozvaha_vstupní data'!B11:B12)/'Rozvaha_vstupní data'!B26</f>
        <v>#DIV/0!</v>
      </c>
      <c r="G5" s="2" t="e">
        <f>SUM('Rozvaha_vstupní data'!C11:C12)/'Rozvaha_vstupní data'!C26</f>
        <v>#DIV/0!</v>
      </c>
      <c r="H5" s="2" t="e">
        <f>SUM('Rozvaha_vstupní data'!D11:D12)/'Rozvaha_vstupní data'!D26</f>
        <v>#DIV/0!</v>
      </c>
      <c r="I5" s="2" t="e">
        <f>SUM('Rozvaha_vstupní data'!E11:E12)/'Rozvaha_vstupní data'!E26</f>
        <v>#DIV/0!</v>
      </c>
      <c r="J5" s="2" t="e">
        <f>SUM('Rozvaha_vstupní data'!F11:F12)/'Rozvaha_vstupní data'!F26</f>
        <v>#DIV/0!</v>
      </c>
      <c r="K5" s="2" t="e">
        <f>SUM('Rozvaha_vstupní data'!G11:G12)/'Rozvaha_vstupní data'!G26</f>
        <v>#DIV/0!</v>
      </c>
      <c r="L5" s="2" t="e">
        <f>SUM('Rozvaha_vstupní data'!H11:H12)/'Rozvaha_vstupní data'!H26</f>
        <v>#DIV/0!</v>
      </c>
    </row>
  </sheetData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C720B-D95A-44EF-BBB1-C703CEF6BC64}">
  <dimension ref="D2:L6"/>
  <sheetViews>
    <sheetView showGridLines="0" workbookViewId="0">
      <selection activeCell="D8" sqref="D8"/>
    </sheetView>
  </sheetViews>
  <sheetFormatPr defaultRowHeight="14.5" x14ac:dyDescent="0.35"/>
  <cols>
    <col min="4" max="4" width="27" bestFit="1" customWidth="1"/>
    <col min="5" max="5" width="13.36328125" bestFit="1" customWidth="1"/>
    <col min="6" max="6" width="15.6328125" bestFit="1" customWidth="1"/>
    <col min="7" max="7" width="15.54296875" bestFit="1" customWidth="1"/>
    <col min="8" max="8" width="15.6328125" bestFit="1" customWidth="1"/>
    <col min="9" max="9" width="15.54296875" bestFit="1" customWidth="1"/>
    <col min="10" max="12" width="15.6328125" bestFit="1" customWidth="1"/>
  </cols>
  <sheetData>
    <row r="2" spans="4:12" x14ac:dyDescent="0.35">
      <c r="D2" s="2" t="s">
        <v>56</v>
      </c>
      <c r="E2" s="2" t="s">
        <v>57</v>
      </c>
      <c r="F2" s="16">
        <f>'Rozvaha_vstupní data'!B2</f>
        <v>2016</v>
      </c>
      <c r="G2" s="16">
        <f>'Rozvaha_vstupní data'!C2</f>
        <v>2017</v>
      </c>
      <c r="H2" s="16">
        <f>'Rozvaha_vstupní data'!D2</f>
        <v>2018</v>
      </c>
      <c r="I2" s="16">
        <f>'Rozvaha_vstupní data'!E2</f>
        <v>2019</v>
      </c>
      <c r="J2" s="16">
        <f>'Rozvaha_vstupní data'!F2</f>
        <v>2020</v>
      </c>
      <c r="K2" s="16">
        <f>'Rozvaha_vstupní data'!G2</f>
        <v>2021</v>
      </c>
      <c r="L2" s="16">
        <f>'Rozvaha_vstupní data'!H2</f>
        <v>2022</v>
      </c>
    </row>
    <row r="3" spans="4:12" x14ac:dyDescent="0.35">
      <c r="D3" s="2" t="s">
        <v>75</v>
      </c>
      <c r="E3" s="2" t="s">
        <v>78</v>
      </c>
      <c r="F3" s="23" t="e">
        <f>'Rozvaha_vstupní data'!B22/'Rozvaha_vstupní data'!B3</f>
        <v>#DIV/0!</v>
      </c>
      <c r="G3" s="23" t="e">
        <f>'Rozvaha_vstupní data'!C22/'Rozvaha_vstupní data'!C3</f>
        <v>#DIV/0!</v>
      </c>
      <c r="H3" s="23" t="e">
        <f>'Rozvaha_vstupní data'!D22/'Rozvaha_vstupní data'!D3</f>
        <v>#DIV/0!</v>
      </c>
      <c r="I3" s="23" t="e">
        <f>'Rozvaha_vstupní data'!E22/'Rozvaha_vstupní data'!E3</f>
        <v>#DIV/0!</v>
      </c>
      <c r="J3" s="23" t="e">
        <f>'Rozvaha_vstupní data'!F22/'Rozvaha_vstupní data'!F3</f>
        <v>#DIV/0!</v>
      </c>
      <c r="K3" s="23" t="e">
        <f>'Rozvaha_vstupní data'!G22/'Rozvaha_vstupní data'!G3</f>
        <v>#DIV/0!</v>
      </c>
      <c r="L3" s="23" t="e">
        <f>'Rozvaha_vstupní data'!H22/'Rozvaha_vstupní data'!H3</f>
        <v>#DIV/0!</v>
      </c>
    </row>
    <row r="4" spans="4:12" x14ac:dyDescent="0.35">
      <c r="D4" s="2" t="s">
        <v>76</v>
      </c>
      <c r="E4" s="2" t="s">
        <v>79</v>
      </c>
      <c r="F4" s="23" t="e">
        <f>'Rozvaha_vstupní data'!B22/'Rozvaha_vstupní data'!B15</f>
        <v>#DIV/0!</v>
      </c>
      <c r="G4" s="23" t="e">
        <f>'Rozvaha_vstupní data'!C22/'Rozvaha_vstupní data'!C15</f>
        <v>#DIV/0!</v>
      </c>
      <c r="H4" s="23" t="e">
        <f>'Rozvaha_vstupní data'!D22/'Rozvaha_vstupní data'!D15</f>
        <v>#DIV/0!</v>
      </c>
      <c r="I4" s="23" t="e">
        <f>'Rozvaha_vstupní data'!E22/'Rozvaha_vstupní data'!E15</f>
        <v>#DIV/0!</v>
      </c>
      <c r="J4" s="23" t="e">
        <f>'Rozvaha_vstupní data'!F22/'Rozvaha_vstupní data'!F15</f>
        <v>#DIV/0!</v>
      </c>
      <c r="K4" s="23" t="e">
        <f>'Rozvaha_vstupní data'!G22/'Rozvaha_vstupní data'!G15</f>
        <v>#DIV/0!</v>
      </c>
      <c r="L4" s="23" t="e">
        <f>'Rozvaha_vstupní data'!H22/'Rozvaha_vstupní data'!H15</f>
        <v>#DIV/0!</v>
      </c>
    </row>
    <row r="5" spans="4:12" x14ac:dyDescent="0.35">
      <c r="D5" s="2" t="s">
        <v>77</v>
      </c>
      <c r="E5" s="2" t="s">
        <v>80</v>
      </c>
      <c r="F5" s="23" t="e">
        <f>'Rozvaha_vstupní data'!B15/'Rozvaha_vstupní data'!B22</f>
        <v>#DIV/0!</v>
      </c>
      <c r="G5" s="23" t="e">
        <f>'Rozvaha_vstupní data'!C15/'Rozvaha_vstupní data'!C22</f>
        <v>#DIV/0!</v>
      </c>
      <c r="H5" s="23" t="e">
        <f>'Rozvaha_vstupní data'!D15/'Rozvaha_vstupní data'!D22</f>
        <v>#DIV/0!</v>
      </c>
      <c r="I5" s="23" t="e">
        <f>'Rozvaha_vstupní data'!E15/'Rozvaha_vstupní data'!E22</f>
        <v>#DIV/0!</v>
      </c>
      <c r="J5" s="23" t="e">
        <f>'Rozvaha_vstupní data'!F15/'Rozvaha_vstupní data'!F22</f>
        <v>#DIV/0!</v>
      </c>
      <c r="K5" s="23" t="e">
        <f>'Rozvaha_vstupní data'!G15/'Rozvaha_vstupní data'!G22</f>
        <v>#DIV/0!</v>
      </c>
      <c r="L5" s="23" t="e">
        <f>'Rozvaha_vstupní data'!H15/'Rozvaha_vstupní data'!H22</f>
        <v>#DIV/0!</v>
      </c>
    </row>
    <row r="6" spans="4:12" x14ac:dyDescent="0.35">
      <c r="D6" s="2" t="s">
        <v>81</v>
      </c>
      <c r="E6" s="2" t="s">
        <v>82</v>
      </c>
      <c r="F6" s="24" t="e">
        <f>'VZZ_vstupní data'!B12/'VZZ_vstupní data'!B19</f>
        <v>#DIV/0!</v>
      </c>
      <c r="G6" s="24" t="e">
        <f>'VZZ_vstupní data'!C12/'VZZ_vstupní data'!C19</f>
        <v>#DIV/0!</v>
      </c>
      <c r="H6" s="24" t="e">
        <f>'VZZ_vstupní data'!D12/'VZZ_vstupní data'!D19</f>
        <v>#DIV/0!</v>
      </c>
      <c r="I6" s="24" t="e">
        <f>'VZZ_vstupní data'!E12/'VZZ_vstupní data'!E19</f>
        <v>#DIV/0!</v>
      </c>
      <c r="J6" s="24" t="e">
        <f>'VZZ_vstupní data'!F12/'VZZ_vstupní data'!F19</f>
        <v>#DIV/0!</v>
      </c>
      <c r="K6" s="24" t="e">
        <f>'VZZ_vstupní data'!G12/'VZZ_vstupní data'!G19</f>
        <v>#DIV/0!</v>
      </c>
      <c r="L6" s="24" t="e">
        <f>'VZZ_vstupní data'!H12/'VZZ_vstupní data'!H19</f>
        <v>#DIV/0!</v>
      </c>
    </row>
  </sheetData>
  <pageMargins left="0.7" right="0.7" top="0.78740157499999996" bottom="0.78740157499999996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5891-6CEC-45E0-8759-BA29E0A04E42}">
  <dimension ref="D2:L6"/>
  <sheetViews>
    <sheetView showGridLines="0" workbookViewId="0">
      <selection activeCell="E39" sqref="E39"/>
    </sheetView>
  </sheetViews>
  <sheetFormatPr defaultRowHeight="14.5" x14ac:dyDescent="0.35"/>
  <cols>
    <col min="4" max="4" width="39.36328125" bestFit="1" customWidth="1"/>
    <col min="5" max="5" width="27" bestFit="1" customWidth="1"/>
  </cols>
  <sheetData>
    <row r="2" spans="4:12" x14ac:dyDescent="0.35">
      <c r="D2" s="2" t="s">
        <v>56</v>
      </c>
      <c r="E2" s="2" t="s">
        <v>57</v>
      </c>
      <c r="F2" s="16">
        <f>'Rozvaha_vstupní data'!B2</f>
        <v>2016</v>
      </c>
      <c r="G2" s="16">
        <f>'Rozvaha_vstupní data'!C2</f>
        <v>2017</v>
      </c>
      <c r="H2" s="16">
        <f>'Rozvaha_vstupní data'!D2</f>
        <v>2018</v>
      </c>
      <c r="I2" s="16">
        <f>'Rozvaha_vstupní data'!E2</f>
        <v>2019</v>
      </c>
      <c r="J2" s="16">
        <f>'Rozvaha_vstupní data'!F2</f>
        <v>2020</v>
      </c>
      <c r="K2" s="16">
        <f>'Rozvaha_vstupní data'!G2</f>
        <v>2021</v>
      </c>
      <c r="L2" s="16">
        <f>'Rozvaha_vstupní data'!H2</f>
        <v>2022</v>
      </c>
    </row>
    <row r="3" spans="4:12" x14ac:dyDescent="0.35">
      <c r="D3" s="2" t="s">
        <v>87</v>
      </c>
      <c r="E3" s="2" t="s">
        <v>83</v>
      </c>
      <c r="F3" s="2" t="e">
        <f>'Rozvaha_vstupní data'!B3/('Vývoj tržeb'!C2/360)</f>
        <v>#DIV/0!</v>
      </c>
      <c r="G3" s="2" t="e">
        <f>'Rozvaha_vstupní data'!C3/('Vývoj tržeb'!D2/360)</f>
        <v>#DIV/0!</v>
      </c>
      <c r="H3" s="2" t="e">
        <f>'Rozvaha_vstupní data'!D3/('Vývoj tržeb'!E2/360)</f>
        <v>#DIV/0!</v>
      </c>
      <c r="I3" s="2" t="e">
        <f>'Rozvaha_vstupní data'!E3/('Vývoj tržeb'!F2/360)</f>
        <v>#DIV/0!</v>
      </c>
      <c r="J3" s="2" t="e">
        <f>'Rozvaha_vstupní data'!F3/('Vývoj tržeb'!G2/360)</f>
        <v>#DIV/0!</v>
      </c>
      <c r="K3" s="2" t="e">
        <f>'Rozvaha_vstupní data'!G3/('Vývoj tržeb'!H2/360)</f>
        <v>#DIV/0!</v>
      </c>
      <c r="L3" s="2" t="e">
        <f>'Rozvaha_vstupní data'!H3/('Vývoj tržeb'!I2/360)</f>
        <v>#DIV/0!</v>
      </c>
    </row>
    <row r="4" spans="4:12" x14ac:dyDescent="0.35">
      <c r="D4" s="2" t="s">
        <v>88</v>
      </c>
      <c r="E4" s="2" t="s">
        <v>84</v>
      </c>
      <c r="F4" s="2" t="e">
        <f>'Rozvaha_vstupní data'!B9/('Vývoj tržeb'!C2/360)</f>
        <v>#DIV/0!</v>
      </c>
      <c r="G4" s="2" t="e">
        <f>'Rozvaha_vstupní data'!C9/('Vývoj tržeb'!D2/360)</f>
        <v>#DIV/0!</v>
      </c>
      <c r="H4" s="2" t="e">
        <f>'Rozvaha_vstupní data'!D9/('Vývoj tržeb'!E2/360)</f>
        <v>#DIV/0!</v>
      </c>
      <c r="I4" s="2" t="e">
        <f>'Rozvaha_vstupní data'!E9/('Vývoj tržeb'!F2/360)</f>
        <v>#DIV/0!</v>
      </c>
      <c r="J4" s="2" t="e">
        <f>'Rozvaha_vstupní data'!F9/('Vývoj tržeb'!G2/360)</f>
        <v>#DIV/0!</v>
      </c>
      <c r="K4" s="2" t="e">
        <f>'Rozvaha_vstupní data'!G9/('Vývoj tržeb'!H2/360)</f>
        <v>#DIV/0!</v>
      </c>
      <c r="L4" s="2" t="e">
        <f>'Rozvaha_vstupní data'!H9/('Vývoj tržeb'!I2/360)</f>
        <v>#DIV/0!</v>
      </c>
    </row>
    <row r="5" spans="4:12" x14ac:dyDescent="0.35">
      <c r="D5" s="2" t="s">
        <v>89</v>
      </c>
      <c r="E5" s="2" t="s">
        <v>85</v>
      </c>
      <c r="F5" s="2" t="e">
        <f>'Rozvaha_vstupní data'!B10/('Vývoj tržeb'!C2/360)</f>
        <v>#DIV/0!</v>
      </c>
      <c r="G5" s="2" t="e">
        <f>'Rozvaha_vstupní data'!C10/('Vývoj tržeb'!D2/360)</f>
        <v>#DIV/0!</v>
      </c>
      <c r="H5" s="2" t="e">
        <f>'Rozvaha_vstupní data'!D10/('Vývoj tržeb'!E2/360)</f>
        <v>#DIV/0!</v>
      </c>
      <c r="I5" s="2" t="e">
        <f>'Rozvaha_vstupní data'!E10/('Vývoj tržeb'!F2/360)</f>
        <v>#DIV/0!</v>
      </c>
      <c r="J5" s="2" t="e">
        <f>'Rozvaha_vstupní data'!F10/('Vývoj tržeb'!G2/360)</f>
        <v>#DIV/0!</v>
      </c>
      <c r="K5" s="2" t="e">
        <f>'Rozvaha_vstupní data'!G10/('Vývoj tržeb'!H2/360)</f>
        <v>#DIV/0!</v>
      </c>
      <c r="L5" s="2" t="e">
        <f>'Rozvaha_vstupní data'!H10/('Vývoj tržeb'!I2/360)</f>
        <v>#DIV/0!</v>
      </c>
    </row>
    <row r="6" spans="4:12" x14ac:dyDescent="0.35">
      <c r="D6" s="2" t="s">
        <v>90</v>
      </c>
      <c r="E6" s="2" t="s">
        <v>86</v>
      </c>
      <c r="F6" s="2" t="e">
        <f>'Rozvaha_vstupní data'!B26/('Vývoj tržeb'!C2/360)</f>
        <v>#DIV/0!</v>
      </c>
      <c r="G6" s="2" t="e">
        <f>'Rozvaha_vstupní data'!C26/('Vývoj tržeb'!D2/360)</f>
        <v>#DIV/0!</v>
      </c>
      <c r="H6" s="2" t="e">
        <f>'Rozvaha_vstupní data'!D26/('Vývoj tržeb'!E2/360)</f>
        <v>#DIV/0!</v>
      </c>
      <c r="I6" s="2" t="e">
        <f>'Rozvaha_vstupní data'!E26/('Vývoj tržeb'!F2/360)</f>
        <v>#DIV/0!</v>
      </c>
      <c r="J6" s="2" t="e">
        <f>'Rozvaha_vstupní data'!F26/('Vývoj tržeb'!G2/360)</f>
        <v>#DIV/0!</v>
      </c>
      <c r="K6" s="2" t="e">
        <f>'Rozvaha_vstupní data'!G26/('Vývoj tržeb'!H2/360)</f>
        <v>#DIV/0!</v>
      </c>
      <c r="L6" s="2" t="e">
        <f>'Rozvaha_vstupní data'!H26/('Vývoj tržeb'!I2/360)</f>
        <v>#DIV/0!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11</vt:i4>
      </vt:variant>
    </vt:vector>
  </HeadingPairs>
  <TitlesOfParts>
    <vt:vector size="11" baseType="lpstr">
      <vt:lpstr>Úvod</vt:lpstr>
      <vt:lpstr>Rozvaha_vstupní data</vt:lpstr>
      <vt:lpstr>VZZ_vstupní data</vt:lpstr>
      <vt:lpstr>Menu</vt:lpstr>
      <vt:lpstr>Vývoj tržeb</vt:lpstr>
      <vt:lpstr>Výsledky hospodaření+zisk</vt:lpstr>
      <vt:lpstr>Analýza rozvahy</vt:lpstr>
      <vt:lpstr>Analýza Rentability</vt:lpstr>
      <vt:lpstr>Analýza Likvidity</vt:lpstr>
      <vt:lpstr>Analýza Zadluženosti</vt:lpstr>
      <vt:lpstr>Analáza Aktivity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Ondřej Zapletal</dc:creator>
  <cp:lastModifiedBy>Ondřej Zapletal</cp:lastModifiedBy>
  <dcterms:created xsi:type="dcterms:W3CDTF">2023-08-30T14:25:12Z</dcterms:created>
  <dcterms:modified xsi:type="dcterms:W3CDTF">2023-08-30T18:02:33Z</dcterms:modified>
</cp:coreProperties>
</file>